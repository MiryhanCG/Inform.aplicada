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13_ncr:1_{7D9253D7-6E47-4DCA-A631-9BDE4BF6542F}" xr6:coauthVersionLast="36" xr6:coauthVersionMax="36" xr10:uidLastSave="{00000000-0000-0000-0000-000000000000}"/>
  <bookViews>
    <workbookView xWindow="0" yWindow="0" windowWidth="28800" windowHeight="12225" activeTab="3" xr2:uid="{00000000-000D-0000-FFFF-FFFF00000000}"/>
  </bookViews>
  <sheets>
    <sheet name="DADOS" sheetId="1" r:id="rId1"/>
    <sheet name="TABELA DINAMICA" sheetId="6" r:id="rId2"/>
    <sheet name="GRAFICOS" sheetId="3" r:id="rId3"/>
    <sheet name="FORMULARIO" sheetId="4" r:id="rId4"/>
  </sheets>
  <calcPr calcId="191029"/>
  <pivotCaches>
    <pivotCache cacheId="9" r:id="rId5"/>
  </pivotCaches>
</workbook>
</file>

<file path=xl/calcChain.xml><?xml version="1.0" encoding="utf-8"?>
<calcChain xmlns="http://schemas.openxmlformats.org/spreadsheetml/2006/main">
  <c r="C9" i="4" l="1"/>
  <c r="C8" i="4"/>
  <c r="C7" i="4"/>
</calcChain>
</file>

<file path=xl/sharedStrings.xml><?xml version="1.0" encoding="utf-8"?>
<sst xmlns="http://schemas.openxmlformats.org/spreadsheetml/2006/main" count="5034" uniqueCount="150">
  <si>
    <t>Mês Ano</t>
  </si>
  <si>
    <t>Área de atuação (Função)</t>
  </si>
  <si>
    <t>Subfunção</t>
  </si>
  <si>
    <t>Valor Empenhado</t>
  </si>
  <si>
    <t>Valor Liquidado</t>
  </si>
  <si>
    <t>Valor Pago</t>
  </si>
  <si>
    <t>Valor Restos a Pagar Pagos</t>
  </si>
  <si>
    <t>12 - Educação</t>
  </si>
  <si>
    <t>366 - Educação de jovens e adultos</t>
  </si>
  <si>
    <t>06 - Segurança pública</t>
  </si>
  <si>
    <t>482 - Habitação urbana</t>
  </si>
  <si>
    <t>07 - Relações exteriores</t>
  </si>
  <si>
    <t>128 - Formação de recursos humanos</t>
  </si>
  <si>
    <t>19 - Ciência e Tecnologia</t>
  </si>
  <si>
    <t>126 - Tecnologia da informação</t>
  </si>
  <si>
    <t>25 - Energia</t>
  </si>
  <si>
    <t>131 - Comunicação social</t>
  </si>
  <si>
    <t>20 - Agricultura</t>
  </si>
  <si>
    <t>631 - Reforma agrária</t>
  </si>
  <si>
    <t>754 - Biocombustíveis</t>
  </si>
  <si>
    <t>542 - Controle ambiental</t>
  </si>
  <si>
    <t>23 - Comércio e serviços</t>
  </si>
  <si>
    <t>846 - Outros encargos especiais</t>
  </si>
  <si>
    <t>10 - Saúde</t>
  </si>
  <si>
    <t>422 - Direitos individuais, coletivos e difusos</t>
  </si>
  <si>
    <t>665 - Normalização e qualidade</t>
  </si>
  <si>
    <t>21 - Organização agrária</t>
  </si>
  <si>
    <t>03 - Essencial à justiça</t>
  </si>
  <si>
    <t>09 - Previdência social</t>
  </si>
  <si>
    <t>845 - Outras transferências</t>
  </si>
  <si>
    <t>753 - Combustíveis</t>
  </si>
  <si>
    <t>28 - Encargos especiais</t>
  </si>
  <si>
    <t>842 - Refinanciamento da dívida externa</t>
  </si>
  <si>
    <t>04 - Administração</t>
  </si>
  <si>
    <t>571 - Desenvolvimento científico</t>
  </si>
  <si>
    <t>129 - Administração de receitas</t>
  </si>
  <si>
    <t>08 - Assistência social</t>
  </si>
  <si>
    <t>14 - Direitos da cidadania</t>
  </si>
  <si>
    <t>242 - Assistência ao portador de deficiência</t>
  </si>
  <si>
    <t>691 - Promoção comercial</t>
  </si>
  <si>
    <t>608 - Promoção da produção agropecuária</t>
  </si>
  <si>
    <t>02 - Judiciária</t>
  </si>
  <si>
    <t>032 - Controle externo</t>
  </si>
  <si>
    <t>22 - Indústria</t>
  </si>
  <si>
    <t>661 - Promoção industrial</t>
  </si>
  <si>
    <t>16 - Habitação</t>
  </si>
  <si>
    <t>451 - infra-estrutura urbana</t>
  </si>
  <si>
    <t>24 - Comunicações</t>
  </si>
  <si>
    <t>606 - Extensão rural</t>
  </si>
  <si>
    <t>243 - Assistência à criança e ao adolescente</t>
  </si>
  <si>
    <t>211 - Relações diplomáticas</t>
  </si>
  <si>
    <t>130 - Administração de concessões</t>
  </si>
  <si>
    <t>15 - Urbanismo</t>
  </si>
  <si>
    <t>844 - Serviço da dívida externa</t>
  </si>
  <si>
    <t>05 - Defesa nacional</t>
  </si>
  <si>
    <t>573 - Difusão do conhecimento científico e tecnológico</t>
  </si>
  <si>
    <t>062 - Defesa do interesse público no processo judiciário</t>
  </si>
  <si>
    <t>122 - Administração geral</t>
  </si>
  <si>
    <t>306 - Alimentação e nutrição</t>
  </si>
  <si>
    <t>541 - Preservação e conservação ambiental</t>
  </si>
  <si>
    <t>751 - Conservação de energia</t>
  </si>
  <si>
    <t>664 - Propriedade industrial</t>
  </si>
  <si>
    <t>13 - Cultura</t>
  </si>
  <si>
    <t>813 - Lazer</t>
  </si>
  <si>
    <t>391 - Patrimônio histórico, artístico e arqueológico</t>
  </si>
  <si>
    <t>11 - Trabalho</t>
  </si>
  <si>
    <t>127 - Ordenamento territorial</t>
  </si>
  <si>
    <t>662 - Produção industrial</t>
  </si>
  <si>
    <t>363 - Ensino profissional</t>
  </si>
  <si>
    <t>18 - Gestão ambiental</t>
  </si>
  <si>
    <t>241 - Assistência ao idoso</t>
  </si>
  <si>
    <t>212 - Cooperação internacional</t>
  </si>
  <si>
    <t>331 - Proteção e benefícios ao trabalhador</t>
  </si>
  <si>
    <t>334 - Fomento ao trabalho</t>
  </si>
  <si>
    <t>812 - Desporto comunitário</t>
  </si>
  <si>
    <t>125 - Normatização e fiscalização</t>
  </si>
  <si>
    <t>722 - Telecomunicações</t>
  </si>
  <si>
    <t>512 - Saneamento básico urbano</t>
  </si>
  <si>
    <t>301 - Atenção básica</t>
  </si>
  <si>
    <t>121 - Planejamento e orçamento</t>
  </si>
  <si>
    <t>693 - Comércio exterior</t>
  </si>
  <si>
    <t>694 - Serviços financeiros</t>
  </si>
  <si>
    <t>841 - Refinanciamento da dívida interna</t>
  </si>
  <si>
    <t>01 - Legislativa</t>
  </si>
  <si>
    <t>695 - Turismo</t>
  </si>
  <si>
    <t>061 - Ação judiciária</t>
  </si>
  <si>
    <t>545 - Meteorologia</t>
  </si>
  <si>
    <t>17 - Saneamento</t>
  </si>
  <si>
    <t>752 - Energia elétrica</t>
  </si>
  <si>
    <t>333 - Empregabilidade</t>
  </si>
  <si>
    <t>124 - Controle interno</t>
  </si>
  <si>
    <t>26 - Transporte</t>
  </si>
  <si>
    <t>843 - Serviço da dívida interna</t>
  </si>
  <si>
    <t>609 - Defesa agropecuária</t>
  </si>
  <si>
    <t>123 - Administração financeira</t>
  </si>
  <si>
    <t>368 - Educação básica</t>
  </si>
  <si>
    <t>304 - Vigilância sanitária</t>
  </si>
  <si>
    <t>847 - Transferências para a educação básica</t>
  </si>
  <si>
    <t>781 - Transporte aéreo</t>
  </si>
  <si>
    <t>092 - Representação judicial e extrajudicial</t>
  </si>
  <si>
    <t>364 - Ensino superior</t>
  </si>
  <si>
    <t>244 - Assistência comunitária</t>
  </si>
  <si>
    <t>302 - Assistência hospitalar e ambulatorial</t>
  </si>
  <si>
    <t>572 - Desenvolvimento tecnológico e engenharia</t>
  </si>
  <si>
    <t>27 - Desporto e lazer</t>
  </si>
  <si>
    <t>543 - Recuperação de áreas degradadas</t>
  </si>
  <si>
    <t>421 - Custódia e reintegração social</t>
  </si>
  <si>
    <t>392 - Difusão cultural</t>
  </si>
  <si>
    <t>811 - Desporto de rendimento</t>
  </si>
  <si>
    <t>784 - Transporte hidroviário</t>
  </si>
  <si>
    <t>303 - Suporte profilático e terapêutico</t>
  </si>
  <si>
    <t>783 - Transporte ferroviário</t>
  </si>
  <si>
    <t>182 - Defesa civil</t>
  </si>
  <si>
    <t>605 - Abastecimento</t>
  </si>
  <si>
    <t>782 - Transporte rodoviário</t>
  </si>
  <si>
    <t>305 - Vigilância epidemiológica</t>
  </si>
  <si>
    <t>151 - Defesa aérea</t>
  </si>
  <si>
    <t>423 - Assistência aos povos indígenas</t>
  </si>
  <si>
    <t>453 - Transportes coletivos urbanos</t>
  </si>
  <si>
    <t>183 - Informação e inteligência</t>
  </si>
  <si>
    <t>152 - Defesa naval</t>
  </si>
  <si>
    <t>511 - Saneamento básico rural</t>
  </si>
  <si>
    <t>544 - Recursos hídricos</t>
  </si>
  <si>
    <t>367 - Educação especial</t>
  </si>
  <si>
    <t>271 - Previdência básica</t>
  </si>
  <si>
    <t>272 - Previdência do regime estatutário</t>
  </si>
  <si>
    <t>607 - Irrigação</t>
  </si>
  <si>
    <t>663 - Mineração</t>
  </si>
  <si>
    <t>181 - Policiamento</t>
  </si>
  <si>
    <t>153 - Defesa terrestre</t>
  </si>
  <si>
    <t>365 - Educação infantil</t>
  </si>
  <si>
    <t>031 - Ação legislativa</t>
  </si>
  <si>
    <t>452 - Serviços urbanos</t>
  </si>
  <si>
    <t>332 - Relações de trabalho</t>
  </si>
  <si>
    <t>Rótulos de Linha</t>
  </si>
  <si>
    <t>Total Geral</t>
  </si>
  <si>
    <t>jan</t>
  </si>
  <si>
    <t>fev</t>
  </si>
  <si>
    <t>mar</t>
  </si>
  <si>
    <t>abr</t>
  </si>
  <si>
    <t>mai</t>
  </si>
  <si>
    <t>jun</t>
  </si>
  <si>
    <t>jul</t>
  </si>
  <si>
    <t>ago</t>
  </si>
  <si>
    <t>Soma de Valor Empenhado</t>
  </si>
  <si>
    <t>Soma de Valor Pago</t>
  </si>
  <si>
    <t>Soma de Valor Liquidado</t>
  </si>
  <si>
    <t>VALOR EMPENHADO</t>
  </si>
  <si>
    <t>VALOR LIQUIDADO</t>
  </si>
  <si>
    <t>VALOR PAGO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</si>
</sst>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7">
    <xf numFmtId="0" fontId="0" fillId="0" borderId="0" xfId="0"/>
    <xf numFmtId="17" fontId="0" fillId="0" borderId="0" xfId="0" applyNumberFormat="1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44" fontId="0" fillId="0" borderId="0" xfId="42" applyFont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" xfId="42" builtinId="4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3"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22" formatCode="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[Miryhan.xlsm]TABELA DINAMICA!Tabela dinâmica2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VALOR</a:t>
            </a:r>
            <a:r>
              <a:rPr lang="pt-BR" baseline="0"/>
              <a:t> EMPENHADO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DINAMICA'!$B$2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DINAMICA'!$A$3:$A$11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'TABELA DINAMICA'!$B$3:$B$11</c:f>
              <c:numCache>
                <c:formatCode>"R$"\ #,##0.00</c:formatCode>
                <c:ptCount val="8"/>
                <c:pt idx="0">
                  <c:v>1754343775354.0405</c:v>
                </c:pt>
                <c:pt idx="1">
                  <c:v>143063894915.0499</c:v>
                </c:pt>
                <c:pt idx="2">
                  <c:v>201968385732.50009</c:v>
                </c:pt>
                <c:pt idx="3">
                  <c:v>163452791404.71997</c:v>
                </c:pt>
                <c:pt idx="4">
                  <c:v>358778113569.44989</c:v>
                </c:pt>
                <c:pt idx="5">
                  <c:v>514378822031.2002</c:v>
                </c:pt>
                <c:pt idx="6">
                  <c:v>317897778731.72003</c:v>
                </c:pt>
                <c:pt idx="7">
                  <c:v>86395315254.230026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A-446D-9A27-E233532AF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2099760"/>
        <c:axId val="943714400"/>
      </c:barChart>
      <c:catAx>
        <c:axId val="862099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Mês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3714400"/>
        <c:crosses val="autoZero"/>
        <c:auto val="1"/>
        <c:lblAlgn val="ctr"/>
        <c:lblOffset val="100"/>
        <c:noMultiLvlLbl val="0"/>
      </c:catAx>
      <c:valAx>
        <c:axId val="94371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Valor em reais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209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[Miryhan.xlsm]TABELA DINAMICA!Tabela dinâmica4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VALOR LIQUIDADO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'TABELA DINAMICA'!$E$2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'TABELA DINAMICA'!$D$3:$D$11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'TABELA DINAMICA'!$E$3:$E$11</c:f>
              <c:numCache>
                <c:formatCode>"R$"\ #,##0.00</c:formatCode>
                <c:ptCount val="8"/>
                <c:pt idx="0">
                  <c:v>578376298680.67017</c:v>
                </c:pt>
                <c:pt idx="1">
                  <c:v>222916699879.16995</c:v>
                </c:pt>
                <c:pt idx="2">
                  <c:v>393300237918.57001</c:v>
                </c:pt>
                <c:pt idx="3">
                  <c:v>230160829228.53003</c:v>
                </c:pt>
                <c:pt idx="4">
                  <c:v>500508737189.72992</c:v>
                </c:pt>
                <c:pt idx="5">
                  <c:v>235300328057.42999</c:v>
                </c:pt>
                <c:pt idx="6">
                  <c:v>497442172649.34973</c:v>
                </c:pt>
                <c:pt idx="7">
                  <c:v>133819774953.83002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F9-45CC-9E9D-A2A74C84F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5063808"/>
        <c:axId val="1038493664"/>
      </c:lineChart>
      <c:catAx>
        <c:axId val="104506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Mês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8493664"/>
        <c:crosses val="autoZero"/>
        <c:auto val="1"/>
        <c:lblAlgn val="ctr"/>
        <c:lblOffset val="100"/>
        <c:noMultiLvlLbl val="0"/>
      </c:catAx>
      <c:valAx>
        <c:axId val="10384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Valor em reais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4506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[Miryhan.xlsm]TABELA DINAMICA!Tabela dinâmica5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VALOR PAGO POR MÊS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 DINAMICA'!$H$2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DINAMICA'!$G$3:$G$11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'TABELA DINAMICA'!$H$3:$H$11</c:f>
              <c:numCache>
                <c:formatCode>"R$"\ #,##0.00</c:formatCode>
                <c:ptCount val="8"/>
                <c:pt idx="0">
                  <c:v>506732497022.9801</c:v>
                </c:pt>
                <c:pt idx="1">
                  <c:v>221169751959.98001</c:v>
                </c:pt>
                <c:pt idx="2">
                  <c:v>392850475406.72003</c:v>
                </c:pt>
                <c:pt idx="3">
                  <c:v>228961975605.13013</c:v>
                </c:pt>
                <c:pt idx="4">
                  <c:v>475292747498.96985</c:v>
                </c:pt>
                <c:pt idx="5">
                  <c:v>226100946227.44989</c:v>
                </c:pt>
                <c:pt idx="6">
                  <c:v>529455930245.26959</c:v>
                </c:pt>
                <c:pt idx="7">
                  <c:v>255052558956.91995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8-4DFB-BC73-047BB161B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45065408"/>
        <c:axId val="1125518480"/>
      </c:barChart>
      <c:catAx>
        <c:axId val="10450654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Mês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5518480"/>
        <c:crosses val="autoZero"/>
        <c:auto val="1"/>
        <c:lblAlgn val="ctr"/>
        <c:lblOffset val="100"/>
        <c:noMultiLvlLbl val="0"/>
      </c:catAx>
      <c:valAx>
        <c:axId val="112551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Valor em reais</a:t>
                </a:r>
              </a:p>
              <a:p>
                <a:pPr>
                  <a:defRPr/>
                </a:pP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4506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[Miryhan.xlsm]TABELA DINAMICA!Tabela dinâmica3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VALOR PAGO POR ÁREA</a:t>
            </a:r>
            <a:r>
              <a:rPr lang="pt-BR" baseline="0"/>
              <a:t> DE ATUAÇÃO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 DINAMICA'!$B$14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70-4BBE-919F-24447AD3F2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70-4BBE-919F-24447AD3F2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70-4BBE-919F-24447AD3F2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0-4BBE-919F-24447AD3F20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70-4BBE-919F-24447AD3F20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770-4BBE-919F-24447AD3F20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770-4BBE-919F-24447AD3F20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770-4BBE-919F-24447AD3F20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770-4BBE-919F-24447AD3F20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770-4BBE-919F-24447AD3F20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770-4BBE-919F-24447AD3F20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770-4BBE-919F-24447AD3F20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770-4BBE-919F-24447AD3F20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770-4BBE-919F-24447AD3F20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770-4BBE-919F-24447AD3F20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770-4BBE-919F-24447AD3F20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D770-4BBE-919F-24447AD3F20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D770-4BBE-919F-24447AD3F20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D770-4BBE-919F-24447AD3F20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D770-4BBE-919F-24447AD3F20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D770-4BBE-919F-24447AD3F20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D770-4BBE-919F-24447AD3F20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D770-4BBE-919F-24447AD3F20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D770-4BBE-919F-24447AD3F20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D770-4BBE-919F-24447AD3F20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D770-4BBE-919F-24447AD3F20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D770-4BBE-919F-24447AD3F20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D770-4BBE-919F-24447AD3F206}"/>
              </c:ext>
            </c:extLst>
          </c:dPt>
          <c:cat>
            <c:strRef>
              <c:f>'TABELA DINAMICA'!$A$15:$A$43</c:f>
              <c:strCache>
                <c:ptCount val="28"/>
                <c:pt idx="0">
                  <c:v>01 - Legislativa</c:v>
                </c:pt>
                <c:pt idx="1">
                  <c:v>02 - Judiciária</c:v>
                </c:pt>
                <c:pt idx="2">
                  <c:v>03 - Essencial à justiça</c:v>
                </c:pt>
                <c:pt idx="3">
                  <c:v>04 - Administração</c:v>
                </c:pt>
                <c:pt idx="4">
                  <c:v>05 - Defesa nacional</c:v>
                </c:pt>
                <c:pt idx="5">
                  <c:v>06 - Segurança pública</c:v>
                </c:pt>
                <c:pt idx="6">
                  <c:v>07 - Relações exteriores</c:v>
                </c:pt>
                <c:pt idx="7">
                  <c:v>08 - Assistência social</c:v>
                </c:pt>
                <c:pt idx="8">
                  <c:v>09 - Previdência social</c:v>
                </c:pt>
                <c:pt idx="9">
                  <c:v>10 - Saúde</c:v>
                </c:pt>
                <c:pt idx="10">
                  <c:v>11 - Trabalho</c:v>
                </c:pt>
                <c:pt idx="11">
                  <c:v>12 - Educação</c:v>
                </c:pt>
                <c:pt idx="12">
                  <c:v>13 - Cultura</c:v>
                </c:pt>
                <c:pt idx="13">
                  <c:v>14 - Direitos da cidadania</c:v>
                </c:pt>
                <c:pt idx="14">
                  <c:v>15 - Urbanismo</c:v>
                </c:pt>
                <c:pt idx="15">
                  <c:v>16 - Habitação</c:v>
                </c:pt>
                <c:pt idx="16">
                  <c:v>17 - Saneamento</c:v>
                </c:pt>
                <c:pt idx="17">
                  <c:v>18 - Gestão ambiental</c:v>
                </c:pt>
                <c:pt idx="18">
                  <c:v>19 - Ciência e Tecnologia</c:v>
                </c:pt>
                <c:pt idx="19">
                  <c:v>20 - Agricultura</c:v>
                </c:pt>
                <c:pt idx="20">
                  <c:v>21 - Organização agrária</c:v>
                </c:pt>
                <c:pt idx="21">
                  <c:v>22 - Indústria</c:v>
                </c:pt>
                <c:pt idx="22">
                  <c:v>23 - Comércio e serviços</c:v>
                </c:pt>
                <c:pt idx="23">
                  <c:v>24 - Comunicações</c:v>
                </c:pt>
                <c:pt idx="24">
                  <c:v>25 - Energia</c:v>
                </c:pt>
                <c:pt idx="25">
                  <c:v>26 - Transporte</c:v>
                </c:pt>
                <c:pt idx="26">
                  <c:v>27 - Desporto e lazer</c:v>
                </c:pt>
                <c:pt idx="27">
                  <c:v>28 - Encargos especiais</c:v>
                </c:pt>
              </c:strCache>
            </c:strRef>
          </c:cat>
          <c:val>
            <c:numRef>
              <c:f>'TABELA DINAMICA'!$B$15:$B$43</c:f>
              <c:numCache>
                <c:formatCode>"R$"\ #,##0.00</c:formatCode>
                <c:ptCount val="28"/>
                <c:pt idx="0">
                  <c:v>896100.02000000014</c:v>
                </c:pt>
                <c:pt idx="1">
                  <c:v>1705413.1700000002</c:v>
                </c:pt>
                <c:pt idx="2">
                  <c:v>464290138.8499999</c:v>
                </c:pt>
                <c:pt idx="3">
                  <c:v>15700478989.119995</c:v>
                </c:pt>
                <c:pt idx="4">
                  <c:v>48195346348.500008</c:v>
                </c:pt>
                <c:pt idx="5">
                  <c:v>7738403166.3400002</c:v>
                </c:pt>
                <c:pt idx="6">
                  <c:v>2272115578.6600003</c:v>
                </c:pt>
                <c:pt idx="7">
                  <c:v>168293639870.06003</c:v>
                </c:pt>
                <c:pt idx="8">
                  <c:v>620985817259.4801</c:v>
                </c:pt>
                <c:pt idx="9">
                  <c:v>94518348859.890015</c:v>
                </c:pt>
                <c:pt idx="10">
                  <c:v>68818483028.070007</c:v>
                </c:pt>
                <c:pt idx="11">
                  <c:v>71191949790.87001</c:v>
                </c:pt>
                <c:pt idx="12">
                  <c:v>1113837704.4900002</c:v>
                </c:pt>
                <c:pt idx="13">
                  <c:v>401234163.84000003</c:v>
                </c:pt>
                <c:pt idx="14">
                  <c:v>610711201.32000017</c:v>
                </c:pt>
                <c:pt idx="15">
                  <c:v>13333.34</c:v>
                </c:pt>
                <c:pt idx="16">
                  <c:v>39692481.949999996</c:v>
                </c:pt>
                <c:pt idx="17">
                  <c:v>1625102307.9399998</c:v>
                </c:pt>
                <c:pt idx="18">
                  <c:v>3675183343.5700002</c:v>
                </c:pt>
                <c:pt idx="19">
                  <c:v>11420389524.559994</c:v>
                </c:pt>
                <c:pt idx="20">
                  <c:v>1634624309.5500004</c:v>
                </c:pt>
                <c:pt idx="21">
                  <c:v>1128844029.9199998</c:v>
                </c:pt>
                <c:pt idx="22">
                  <c:v>785976601.70999992</c:v>
                </c:pt>
                <c:pt idx="23">
                  <c:v>760416087.08999991</c:v>
                </c:pt>
                <c:pt idx="24">
                  <c:v>597522727.57999992</c:v>
                </c:pt>
                <c:pt idx="25">
                  <c:v>5517369816.0600014</c:v>
                </c:pt>
                <c:pt idx="26">
                  <c:v>67771171.950000003</c:v>
                </c:pt>
                <c:pt idx="27">
                  <c:v>1708056719575.5198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D770-4BBE-919F-24447AD3F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I$3" fmlaRange="DADOS!$C$1:$G$2481" noThreeD="1" sel="2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802483-7172-477B-9477-0AFEC21D7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16</xdr:col>
      <xdr:colOff>304800</xdr:colOff>
      <xdr:row>14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471201D-A8DB-4E86-A314-FB232B681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0</xdr:row>
      <xdr:rowOff>0</xdr:rowOff>
    </xdr:from>
    <xdr:to>
      <xdr:col>25</xdr:col>
      <xdr:colOff>304800</xdr:colOff>
      <xdr:row>14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C2C3BA-0A0B-4C33-BAC5-E11B70FA7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7</xdr:col>
      <xdr:colOff>304800</xdr:colOff>
      <xdr:row>31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E93E30-5E8C-4B46-B0F5-0A7FA05DF9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28575</xdr:rowOff>
        </xdr:from>
        <xdr:to>
          <xdr:col>3</xdr:col>
          <xdr:colOff>466725</xdr:colOff>
          <xdr:row>3</xdr:row>
          <xdr:rowOff>171450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7DD9A68-0E5E-485E-BF9E-136C26409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8</xdr:row>
          <xdr:rowOff>28575</xdr:rowOff>
        </xdr:from>
        <xdr:to>
          <xdr:col>10</xdr:col>
          <xdr:colOff>9525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D44849C-0544-4C52-973F-40EF8D4EF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9.951964351851" createdVersion="6" refreshedVersion="6" minRefreshableVersion="3" recordCount="2480" xr:uid="{40246503-58AE-41DB-BE1B-4DD084997D63}">
  <cacheSource type="worksheet">
    <worksheetSource name="Tabela1"/>
  </cacheSource>
  <cacheFields count="8">
    <cacheField name="Mês Ano" numFmtId="17">
      <sharedItems containsSemiMixedTypes="0" containsNonDate="0" containsDate="1" containsString="0" minDate="2023-01-01T00:00:00" maxDate="2023-08-02T00:00:00" count="8"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</sharedItems>
      <fieldGroup par="7" base="0">
        <rangePr groupBy="days" startDate="2023-01-01T00:00:00" endDate="2023-08-02T00:00:00"/>
        <groupItems count="368">
          <s v="&lt;01/01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08/2023"/>
        </groupItems>
      </fieldGroup>
    </cacheField>
    <cacheField name="Área de atuação (Função)" numFmtId="0">
      <sharedItems count="28">
        <s v="12 - Educação"/>
        <s v="06 - Segurança pública"/>
        <s v="07 - Relações exteriores"/>
        <s v="19 - Ciência e Tecnologia"/>
        <s v="25 - Energia"/>
        <s v="20 - Agricultura"/>
        <s v="23 - Comércio e serviços"/>
        <s v="10 - Saúde"/>
        <s v="21 - Organização agrária"/>
        <s v="03 - Essencial à justiça"/>
        <s v="09 - Previdência social"/>
        <s v="28 - Encargos especiais"/>
        <s v="04 - Administração"/>
        <s v="08 - Assistência social"/>
        <s v="14 - Direitos da cidadania"/>
        <s v="02 - Judiciária"/>
        <s v="22 - Indústria"/>
        <s v="16 - Habitação"/>
        <s v="24 - Comunicações"/>
        <s v="15 - Urbanismo"/>
        <s v="05 - Defesa nacional"/>
        <s v="13 - Cultura"/>
        <s v="11 - Trabalho"/>
        <s v="18 - Gestão ambiental"/>
        <s v="01 - Legislativa"/>
        <s v="17 - Saneamento"/>
        <s v="26 - Transporte"/>
        <s v="27 - Desporto e lazer"/>
      </sharedItems>
    </cacheField>
    <cacheField name="Subfunção" numFmtId="0">
      <sharedItems/>
    </cacheField>
    <cacheField name="Valor Empenhado" numFmtId="0">
      <sharedItems containsSemiMixedTypes="0" containsString="0" containsNumber="1" minValue="-348942317.54000002" maxValue="561094325085.04004" count="1930">
        <n v="0"/>
        <n v="50000"/>
        <n v="2000000"/>
        <n v="90898794"/>
        <n v="417222923"/>
        <n v="127081203.45"/>
        <n v="1052946.31"/>
        <n v="11615590000"/>
        <n v="10667058"/>
        <n v="20000000"/>
        <n v="21200000"/>
        <n v="4206.08"/>
        <n v="986200000"/>
        <n v="30037104"/>
        <n v="6264705.7699999996"/>
        <n v="10900"/>
        <n v="3581479612.1900001"/>
        <n v="78330.22"/>
        <n v="80500"/>
        <n v="17779.080000000002"/>
        <n v="2451573.23"/>
        <n v="1436783728.5"/>
        <n v="34371.97"/>
        <n v="120329.2"/>
        <n v="132107544.83"/>
        <n v="1414072.9"/>
        <n v="141585.54"/>
        <n v="6297.5"/>
        <n v="212061.63"/>
        <n v="582058.78"/>
        <n v="24656"/>
        <n v="14166630"/>
        <n v="7000"/>
        <n v="15802288.76"/>
        <n v="95291609.959999993"/>
        <n v="745602973.94000006"/>
        <n v="315400"/>
        <n v="1051925.54"/>
        <n v="336451.84000000003"/>
        <n v="1230751.2"/>
        <n v="37660631.850000001"/>
        <n v="94799"/>
        <n v="802000"/>
        <n v="28214474.100000001"/>
        <n v="3254160000"/>
        <n v="198735.4"/>
        <n v="693097.76"/>
        <n v="242.98"/>
        <n v="36212623.18"/>
        <n v="2000332.47"/>
        <n v="79140"/>
        <n v="4711334604"/>
        <n v="5070130.1900000004"/>
        <n v="138664296.47999999"/>
        <n v="561094325085.04004"/>
        <n v="103956852.87"/>
        <n v="30000"/>
        <n v="193337302.02000001"/>
        <n v="177273128.87"/>
        <n v="100000"/>
        <n v="38385187.719999999"/>
        <n v="1829851.29"/>
        <n v="17714215.879999999"/>
        <n v="4800"/>
        <n v="1552935.24"/>
        <n v="89131.89"/>
        <n v="44925.95"/>
        <n v="5739473.5999999996"/>
        <n v="111477729"/>
        <n v="117685606.48"/>
        <n v="26126330153.439999"/>
        <n v="26565790"/>
        <n v="635690.54"/>
        <n v="19503.919999999998"/>
        <n v="44203768.310000002"/>
        <n v="1444619"/>
        <n v="110456545"/>
        <n v="56776.34"/>
        <n v="879767.36"/>
        <n v="21496358.23"/>
        <n v="5172963.58"/>
        <n v="70897655.780000001"/>
        <n v="11964.52"/>
        <n v="66554016107"/>
        <n v="2962334.13"/>
        <n v="38241574565.099998"/>
        <n v="79731912"/>
        <n v="459273.23"/>
        <n v="16034045.27"/>
        <n v="4000000"/>
        <n v="1221901.29"/>
        <n v="25311532.75"/>
        <n v="45867660.780000001"/>
        <n v="20078006.239999998"/>
        <n v="550299.68000000005"/>
        <n v="38312330.07"/>
        <n v="577063619.14999998"/>
        <n v="1837483.39"/>
        <n v="52683.81"/>
        <n v="36569089.479999997"/>
        <n v="6657284.3099999996"/>
        <n v="3172261.47"/>
        <n v="4636.2"/>
        <n v="592107.64"/>
        <n v="41653399.039999999"/>
        <n v="95499.82"/>
        <n v="9000"/>
        <n v="23800"/>
        <n v="66495648.090000004"/>
        <n v="231000338.11000001"/>
        <n v="10655.18"/>
        <n v="30437333.75"/>
        <n v="26646546.5"/>
        <n v="8094685.2800000003"/>
        <n v="15243.2"/>
        <n v="120532.4"/>
        <n v="4592094.7699999996"/>
        <n v="1966828805.3099999"/>
        <n v="315115"/>
        <n v="2579800"/>
        <n v="1164468.21"/>
        <n v="367956.15"/>
        <n v="72760.039999999994"/>
        <n v="1849123.12"/>
        <n v="4515730638.3199997"/>
        <n v="2964213.79"/>
        <n v="445776.34"/>
        <n v="17325.259999999998"/>
        <n v="37854720073"/>
        <n v="5005486.41"/>
        <n v="339956.25"/>
        <n v="721214119.04999995"/>
        <n v="1648150.39"/>
        <n v="13325031511.4"/>
        <n v="3491373.02"/>
        <n v="396152781.49000001"/>
        <n v="5877253115.9099998"/>
        <n v="3002044.08"/>
        <n v="561600"/>
        <n v="46466725460"/>
        <n v="298857040.06"/>
        <n v="194814999.96000001"/>
        <n v="473408635.30000001"/>
        <n v="1314809449.8099999"/>
        <n v="264201177.52000001"/>
        <n v="4178412.05"/>
        <n v="10951062.189999999"/>
        <n v="7192466658.6599998"/>
        <n v="47124898.960000001"/>
        <n v="1264279.8600000001"/>
        <n v="3936613.14"/>
        <n v="4424884.3"/>
        <n v="139166196.31999999"/>
        <n v="130448525.70999999"/>
        <n v="5394577.6799999997"/>
        <n v="50657802.549999997"/>
        <n v="5567827.3200000003"/>
        <n v="141591.18"/>
        <n v="210947723.09"/>
        <n v="8368197.4299999997"/>
        <n v="1457486.35"/>
        <n v="20209.09"/>
        <n v="4434348.1900000004"/>
        <n v="300093586934.31"/>
        <n v="683513814.05999994"/>
        <n v="6101496164.2799997"/>
        <n v="3023552"/>
        <n v="34006516.979999997"/>
        <n v="6027382.2800000003"/>
        <n v="69171529.560000002"/>
        <n v="120971404.78"/>
        <n v="8002595.0300000003"/>
        <n v="393745633.70999998"/>
        <n v="708968899.96000004"/>
        <n v="2318862234.3499999"/>
        <n v="286147861.54000002"/>
        <n v="230222433.74000001"/>
        <n v="8126785.5999999996"/>
        <n v="5832804.2599999998"/>
        <n v="149998227.88"/>
        <n v="9670903.1500000004"/>
        <n v="379894288.85000002"/>
        <n v="558866565.69000006"/>
        <n v="1478668.37"/>
        <n v="5598221.3099999996"/>
        <n v="236488425.34999999"/>
        <n v="368971202604.35999"/>
        <n v="73317161617.050003"/>
        <n v="1024676.41"/>
        <n v="730073.21"/>
        <n v="23067716.25"/>
        <n v="28341638867.330002"/>
        <n v="2599799.79"/>
        <n v="2762775.75"/>
        <n v="1185424.23"/>
        <n v="353123.84000000003"/>
        <n v="2330085.14"/>
        <n v="12354252.689999999"/>
        <n v="2969162.91"/>
        <n v="4908475222.25"/>
        <n v="500441027.04000002"/>
        <n v="45930851.210000001"/>
        <n v="13344298.949999999"/>
        <n v="73036497.700000003"/>
        <n v="8177343352.9200001"/>
        <n v="8081647002.4099998"/>
        <n v="11592225.84"/>
        <n v="194628521.30000001"/>
        <n v="145416794.84999999"/>
        <n v="2461451309.3200002"/>
        <n v="54511231.490000002"/>
        <n v="3360924420.7199998"/>
        <n v="1110844551.54"/>
        <n v="8515953869.9700003"/>
        <n v="341177586.06999999"/>
        <n v="9942549056.9699993"/>
        <n v="6193701.9000000004"/>
        <n v="2132929169.99"/>
        <n v="224299029.05000001"/>
        <n v="5331523175.5200005"/>
        <n v="21005283860.740002"/>
        <n v="51186836149.199997"/>
        <n v="756200"/>
        <n v="11408922.060000001"/>
        <n v="34457.75"/>
        <n v="880291.27"/>
        <n v="156138.78"/>
        <n v="128465343.86"/>
        <n v="1861982510.1900001"/>
        <n v="9569340"/>
        <n v="-3608584"/>
        <n v="-500000"/>
        <n v="35584.89"/>
        <n v="70000"/>
        <n v="277032"/>
        <n v="-10900"/>
        <n v="1550000"/>
        <n v="40000"/>
        <n v="1574831486.52"/>
        <n v="57398.19"/>
        <n v="27566.67"/>
        <n v="-1500"/>
        <n v="3934778.18"/>
        <n v="915423.22"/>
        <n v="49132.98"/>
        <n v="2854368.09"/>
        <n v="64532.57"/>
        <n v="36620132.149999999"/>
        <n v="2346047.06"/>
        <n v="380790.31"/>
        <n v="52725.36"/>
        <n v="500000000"/>
        <n v="455225.72"/>
        <n v="10876290.98"/>
        <n v="915000"/>
        <n v="96736.92"/>
        <n v="42486.98"/>
        <n v="324958.76"/>
        <n v="-3430184"/>
        <n v="487169"/>
        <n v="760555.69"/>
        <n v="20000"/>
        <n v="24685794.710000001"/>
        <n v="2097959.09"/>
        <n v="581972.21"/>
        <n v="51833.81"/>
        <n v="959048.79"/>
        <n v="375549.14"/>
        <n v="4252016.29"/>
        <n v="27503120.890000001"/>
        <n v="96810.2"/>
        <n v="2196989.65"/>
        <n v="5368016.3"/>
        <n v="8951135.9000000004"/>
        <n v="86011043.810000002"/>
        <n v="81433"/>
        <n v="1323129.83"/>
        <n v="93487.21"/>
        <n v="27595"/>
        <n v="4671353.4800000004"/>
        <n v="28358261721.119999"/>
        <n v="376780.55"/>
        <n v="5000000"/>
        <n v="-91314000"/>
        <n v="1233971.26"/>
        <n v="18579589470"/>
        <n v="143589247.84999999"/>
        <n v="161890"/>
        <n v="8262152.5199999996"/>
        <n v="3830263.57"/>
        <n v="65416.65"/>
        <n v="30893.22"/>
        <n v="268232.25"/>
        <n v="53500"/>
        <n v="202904"/>
        <n v="108032.99"/>
        <n v="1000"/>
        <n v="4425661.29"/>
        <n v="66559.899999999994"/>
        <n v="2000"/>
        <n v="294629.88"/>
        <n v="60088702.240000002"/>
        <n v="169707.98"/>
        <n v="5271524.7699999996"/>
        <n v="262366304.19999999"/>
        <n v="1600793.31"/>
        <n v="711039.14"/>
        <n v="6074357.9800000004"/>
        <n v="226919.33"/>
        <n v="431.2"/>
        <n v="74892.52"/>
        <n v="5400060.3899999997"/>
        <n v="17571620.670000002"/>
        <n v="5560483.7000000002"/>
        <n v="2478448.89"/>
        <n v="-5097.41"/>
        <n v="239694.63"/>
        <n v="120329.97"/>
        <n v="13509264.58"/>
        <n v="928904.98"/>
        <n v="226458.08"/>
        <n v="741613.08"/>
        <n v="2980093.64"/>
        <n v="2155004.39"/>
        <n v="980822.08"/>
        <n v="222167833.72999999"/>
        <n v="-85347911.430000007"/>
        <n v="9366924.2699999996"/>
        <n v="8626.1200000000008"/>
        <n v="27259.07"/>
        <n v="2402179.65"/>
        <n v="3301432.97"/>
        <n v="909677.66"/>
        <n v="7031594.4000000004"/>
        <n v="16203816.32"/>
        <n v="3241514.92"/>
        <n v="5502584.0499999998"/>
        <n v="-39116.79"/>
        <n v="1451190"/>
        <n v="18076.7"/>
        <n v="1074118"/>
        <n v="1150353"/>
        <n v="-314361.53999999998"/>
        <n v="21463377.68"/>
        <n v="39746008474.449997"/>
        <n v="1969857.81"/>
        <n v="4441506.92"/>
        <n v="10909122.619999999"/>
        <n v="179420.64"/>
        <n v="-2804362.47"/>
        <n v="132706021.16"/>
        <n v="68410621.900000006"/>
        <n v="50755924.829999998"/>
        <n v="-274699.89"/>
        <n v="8681.33"/>
        <n v="164955"/>
        <n v="48320091.109999999"/>
        <n v="6765042.6500000004"/>
        <n v="1909013.98"/>
        <n v="4385348.45"/>
        <n v="1921379.06"/>
        <n v="-22269982.550000001"/>
        <n v="50001"/>
        <n v="2958519.64"/>
        <n v="1491348.86"/>
        <n v="2254268.06"/>
        <n v="212604.12"/>
        <n v="9291657.4199999999"/>
        <n v="26411811.18"/>
        <n v="14942293.039999999"/>
        <n v="7272296.5700000003"/>
        <n v="4686759017.71"/>
        <n v="2011600126.3499999"/>
        <n v="116172960.61"/>
        <n v="2094799.22"/>
        <n v="217047009.31999999"/>
        <n v="22181013.760000002"/>
        <n v="21531659.5"/>
        <n v="1611995702.52"/>
        <n v="139775373.83000001"/>
        <n v="116331477.03"/>
        <n v="8695824.5899999999"/>
        <n v="69315649.620000005"/>
        <n v="5524580.4900000002"/>
        <n v="3530065.45"/>
        <n v="940993.13"/>
        <n v="5774076.7599999998"/>
        <n v="366572.83"/>
        <n v="186253607.09"/>
        <n v="470901172.69"/>
        <n v="103954958.04000001"/>
        <n v="11991649.109999999"/>
        <n v="-36910485.659999996"/>
        <n v="26731360.190000001"/>
        <n v="35257943.009999998"/>
        <n v="3810379042.5599999"/>
        <n v="139073.87"/>
        <n v="-11500"/>
        <n v="8796590983.7600002"/>
        <n v="7642372.5800000001"/>
        <n v="371057071.02999997"/>
        <n v="11717740.1"/>
        <n v="22556921.579999998"/>
        <n v="225442336.47"/>
        <n v="2576500470.4499998"/>
        <n v="57898403.340000004"/>
        <n v="7996182.2999999998"/>
        <n v="41692464.759999998"/>
        <n v="1793325.72"/>
        <n v="2412333065.1300001"/>
        <n v="2416187.34"/>
        <n v="238943198.83000001"/>
        <n v="239917458.30000001"/>
        <n v="59235153.140000001"/>
        <n v="2462929.9199999999"/>
        <n v="82490502.359999999"/>
        <n v="2170372379.6999998"/>
        <n v="1001069.45"/>
        <n v="120058574.68000001"/>
        <n v="12306671.32"/>
        <n v="1331344.73"/>
        <n v="7237911.7999999998"/>
        <n v="583109756.75"/>
        <n v="1302023.18"/>
        <n v="-168546.24"/>
        <n v="245887974.66999999"/>
        <n v="130258825.90000001"/>
        <n v="144507906.09"/>
        <n v="14436333.609999999"/>
        <n v="79404294.060000002"/>
        <n v="79638766.060000002"/>
        <n v="3314378.38"/>
        <n v="16402949.57"/>
        <n v="7788116.6299999999"/>
        <n v="42641712.509999998"/>
        <n v="4715107508.9700003"/>
        <n v="130808506.23999999"/>
        <n v="5874558.7699999996"/>
        <n v="201296645.53"/>
        <n v="7535583636.6400003"/>
        <n v="563078581.00999999"/>
        <n v="101666022.3"/>
        <n v="1095583630.0699999"/>
        <n v="-35157059.479999997"/>
        <n v="234583203.41"/>
        <n v="466384713.20999998"/>
        <n v="83523332.969999999"/>
        <n v="2131708756.47"/>
        <n v="54736706.840000004"/>
        <n v="1244094404"/>
        <n v="1305791.44"/>
        <n v="-2000000"/>
        <n v="150000"/>
        <n v="4139.12"/>
        <n v="1195588.17"/>
        <n v="-8210000"/>
        <n v="3263209.76"/>
        <n v="-174754.89"/>
        <n v="147898926"/>
        <n v="-1113676.8600000001"/>
        <n v="685461.53"/>
        <n v="8686080"/>
        <n v="1000000"/>
        <n v="-150000"/>
        <n v="77790.11"/>
        <n v="1196636024.8900001"/>
        <n v="710.9"/>
        <n v="11655.75"/>
        <n v="28000000"/>
        <n v="32221"/>
        <n v="168619.92"/>
        <n v="25571396.5"/>
        <n v="2562362.2599999998"/>
        <n v="138135.57"/>
        <n v="20236.63"/>
        <n v="17652277.57"/>
        <n v="24500587"/>
        <n v="2045755.2"/>
        <n v="1656.76"/>
        <n v="547800"/>
        <n v="-1992212.72"/>
        <n v="5940828.4400000004"/>
        <n v="144950.20000000001"/>
        <n v="339656.9"/>
        <n v="223145"/>
        <n v="129010756.3"/>
        <n v="-1230751.2"/>
        <n v="299702.17"/>
        <n v="154000000000"/>
        <n v="117813.15"/>
        <n v="143902.14000000001"/>
        <n v="306256.59999999998"/>
        <n v="600000"/>
        <n v="200000"/>
        <n v="-3000000"/>
        <n v="-160000"/>
        <n v="219012.85"/>
        <n v="504"/>
        <n v="51545.66"/>
        <n v="25000"/>
        <n v="38052545.939999998"/>
        <n v="144792.64000000001"/>
        <n v="870000"/>
        <n v="2877500"/>
        <n v="-100161.88"/>
        <n v="298913.71999999997"/>
        <n v="-7722020.4100000001"/>
        <n v="1043135.43"/>
        <n v="-300722"/>
        <n v="211000"/>
        <n v="222228.38"/>
        <n v="1647814525.21"/>
        <n v="-22496140.190000001"/>
        <n v="122453.31"/>
        <n v="35000000"/>
        <n v="2325198449.4899998"/>
        <n v="130859.78"/>
        <n v="135966.67000000001"/>
        <n v="10000"/>
        <n v="-186279.56"/>
        <n v="872000"/>
        <n v="16570422.199999999"/>
        <n v="250042353.49000001"/>
        <n v="1900000"/>
        <n v="5725946.8799999999"/>
        <n v="81516.479999999996"/>
        <n v="183118.36"/>
        <n v="523036.93"/>
        <n v="431622.81"/>
        <n v="86314.54"/>
        <n v="1622925.35"/>
        <n v="1440.3"/>
        <n v="612"/>
        <n v="-11408922.060000001"/>
        <n v="379517.61"/>
        <n v="10179994.42"/>
        <n v="168034"/>
        <n v="27128652.300000001"/>
        <n v="541357.01"/>
        <n v="33000000"/>
        <n v="7939778799.5699997"/>
        <n v="3621764.58"/>
        <n v="-9976108.5800000001"/>
        <n v="37043968.520000003"/>
        <n v="70837119.489999995"/>
        <n v="23684159.850000001"/>
        <n v="33699060.109999999"/>
        <n v="4600272.47"/>
        <n v="-1214162.8500000001"/>
        <n v="108755.46"/>
        <n v="-1183065.26"/>
        <n v="381061795.25"/>
        <n v="959892.49"/>
        <n v="17781502"/>
        <n v="6431568.7699999996"/>
        <n v="1127568.99"/>
        <n v="14060552.49"/>
        <n v="1561694.49"/>
        <n v="3552688.72"/>
        <n v="51626402.340000004"/>
        <n v="-306454.87"/>
        <n v="-2547695.4700000002"/>
        <n v="257639.98"/>
        <n v="40000.5"/>
        <n v="89226.04"/>
        <n v="505913.26"/>
        <n v="252604.35"/>
        <n v="-101853.8"/>
        <n v="18125888.32"/>
        <n v="749802.78"/>
        <n v="558567"/>
        <n v="1852051.75"/>
        <n v="403149.74"/>
        <n v="295000"/>
        <n v="-175980.96"/>
        <n v="6602334.5300000003"/>
        <n v="14211908.67"/>
        <n v="1765774.57"/>
        <n v="4666989.29"/>
        <n v="532485.34"/>
        <n v="-1648351.03"/>
        <n v="-16825451.940000001"/>
        <n v="1504824.11"/>
        <n v="108284163.03"/>
        <n v="5556213.9000000004"/>
        <n v="-5986534.8399999999"/>
        <n v="1996010.55"/>
        <n v="42143.3"/>
        <n v="15341244.6"/>
        <n v="180441.76"/>
        <n v="430000"/>
        <n v="768732.91"/>
        <n v="17433645.609999999"/>
        <n v="22868549.75"/>
        <n v="28039470.300000001"/>
        <n v="237727.17"/>
        <n v="2273891.66"/>
        <n v="1560052.42"/>
        <n v="32594.9"/>
        <n v="26397161.640000001"/>
        <n v="4854872.9800000004"/>
        <n v="154245.65"/>
        <n v="-2096959.09"/>
        <n v="-242131920.87"/>
        <n v="27989230.809999999"/>
        <n v="352419.6"/>
        <n v="86140537.390000001"/>
        <n v="1763872.42"/>
        <n v="2922175.52"/>
        <n v="396308330.93000001"/>
        <n v="147287292.44999999"/>
        <n v="100187155.61"/>
        <n v="29945032.989999998"/>
        <n v="1743554.85"/>
        <n v="96406199.040000007"/>
        <n v="2056094887.6500001"/>
        <n v="2038698.08"/>
        <n v="36669.5"/>
        <n v="12239873.060000001"/>
        <n v="57041506.369999997"/>
        <n v="13803333.279999999"/>
        <n v="668619392.52999997"/>
        <n v="90961083.769999996"/>
        <n v="5852887.2000000002"/>
        <n v="3241167.76"/>
        <n v="-9770987.3699999992"/>
        <n v="-2389191.48"/>
        <n v="159098120.44999999"/>
        <n v="13855578.16"/>
        <n v="414316943.81"/>
        <n v="23728281.800000001"/>
        <n v="-4019068.67"/>
        <n v="283853.46999999997"/>
        <n v="1102998263.8099999"/>
        <n v="90336.15"/>
        <n v="1585133171.01"/>
        <n v="37985084.689999998"/>
        <n v="80586846.969999999"/>
        <n v="14534151.140000001"/>
        <n v="2293633.29"/>
        <n v="-100656796.61"/>
        <n v="4289724.21"/>
        <n v="486192.77"/>
        <n v="158827845.62"/>
        <n v="126236033.52"/>
        <n v="71763412.540000007"/>
        <n v="263265829.53"/>
        <n v="176054.63"/>
        <n v="1570563.73"/>
        <n v="216209262.37"/>
        <n v="-8318482.54"/>
        <n v="4594006.83"/>
        <n v="211402.65"/>
        <n v="1000343611.12"/>
        <n v="5331135.6399999997"/>
        <n v="32734104.149999999"/>
        <n v="483737.14"/>
        <n v="1447685.68"/>
        <n v="4390456.8899999997"/>
        <n v="5012344.8899999997"/>
        <n v="29933523.059999999"/>
        <n v="4332496489.6700001"/>
        <n v="-43667378.530000001"/>
        <n v="5364481.51"/>
        <n v="61511443.390000001"/>
        <n v="-2814539.93"/>
        <n v="1369918.06"/>
        <n v="3558476.84"/>
        <n v="78564536.939999998"/>
        <n v="2161289141.8200002"/>
        <n v="122958926.87"/>
        <n v="780853.9"/>
        <n v="27243500.809999999"/>
        <n v="2128044.69"/>
        <n v="17823758.07"/>
        <n v="407495324.31"/>
        <n v="14798296.710000001"/>
        <n v="343636145.37"/>
        <n v="25187487.940000001"/>
        <n v="79111784.280000001"/>
        <n v="34947315.159999996"/>
        <n v="770813848.75999999"/>
        <n v="3467962.14"/>
        <n v="173616885.06999999"/>
        <n v="9285817.3399999999"/>
        <n v="764513280.66999996"/>
        <n v="4849452174.9200001"/>
        <n v="28358774.260000002"/>
        <n v="221660158.46000001"/>
        <n v="183152165.5"/>
        <n v="176565.86"/>
        <n v="5081962879.79"/>
        <n v="896080197.75999999"/>
        <n v="220365384.06"/>
        <n v="1079057970.75"/>
        <n v="124540570.05"/>
        <n v="247468307.55000001"/>
        <n v="1245113180.52"/>
        <n v="622311697.22000003"/>
        <n v="192493096.72"/>
        <n v="318884.08"/>
        <n v="33989753.689999998"/>
        <n v="69371.78"/>
        <n v="3000000"/>
        <n v="37570740"/>
        <n v="10210000"/>
        <n v="6297926.1699999999"/>
        <n v="22613330.199999999"/>
        <n v="942187.39"/>
        <n v="28390430.629999999"/>
        <n v="88997099.810000002"/>
        <n v="110000"/>
        <n v="-376932.57"/>
        <n v="278446.95"/>
        <n v="30456.25"/>
        <n v="-3"/>
        <n v="-6000"/>
        <n v="163978.67000000001"/>
        <n v="6775480.6100000003"/>
        <n v="6372956.2699999996"/>
        <n v="377067.64"/>
        <n v="-33685.769999999997"/>
        <n v="2050000"/>
        <n v="880588.17"/>
        <n v="1760150554.73"/>
        <n v="104933.58"/>
        <n v="7675880.9699999997"/>
        <n v="210000.5"/>
        <n v="31452357.52"/>
        <n v="1529147.2"/>
        <n v="3425259.04"/>
        <n v="47000"/>
        <n v="1788000"/>
        <n v="129120972.48999999"/>
        <n v="694612.1"/>
        <n v="780930.26"/>
        <n v="-2162.04"/>
        <n v="30095257"/>
        <n v="2341.5700000000002"/>
        <n v="70104123.519999996"/>
        <n v="400000"/>
        <n v="50600000000"/>
        <n v="311693.32"/>
        <n v="4029078.53"/>
        <n v="1500"/>
        <n v="265880.43"/>
        <n v="15000"/>
        <n v="55000"/>
        <n v="4827315"/>
        <n v="7884344.29"/>
        <n v="108381.98"/>
        <n v="146282949.11000001"/>
        <n v="-1592.7"/>
        <n v="418365.22"/>
        <n v="16184733.689999999"/>
        <n v="1657388.81"/>
        <n v="2689394.63"/>
        <n v="4123699.86"/>
        <n v="308363.05"/>
        <n v="374306.45"/>
        <n v="18881345.98"/>
        <n v="33342.6"/>
        <n v="41875521.630000003"/>
        <n v="-106107.17"/>
        <n v="96618.89"/>
        <n v="9343548518.0699997"/>
        <n v="79848761.799999997"/>
        <n v="100276.62"/>
        <n v="16026.78"/>
        <n v="34561.06"/>
        <n v="55140.02"/>
        <n v="1225829554.9200001"/>
        <n v="9028727.2200000007"/>
        <n v="95000000"/>
        <n v="2960000"/>
        <n v="2100000"/>
        <n v="4003611.84"/>
        <n v="618088.5"/>
        <n v="4922791"/>
        <n v="758805.11"/>
        <n v="-5000"/>
        <n v="151183.6"/>
        <n v="-19630500"/>
        <n v="16320.56"/>
        <n v="7883445.3700000001"/>
        <n v="975700"/>
        <n v="24090562.98"/>
        <n v="834446609.75999999"/>
        <n v="1476045984.8699999"/>
        <n v="216099.38"/>
        <n v="43926161.340000004"/>
        <n v="48428768.340000004"/>
        <n v="6953235.5800000001"/>
        <n v="43000000"/>
        <n v="39153.46"/>
        <n v="288332.08"/>
        <n v="7442021.8099999996"/>
        <n v="35325577.619999997"/>
        <n v="700000"/>
        <n v="4527932.16"/>
        <n v="25666.639999999999"/>
        <n v="1425935.01"/>
        <n v="73011.53"/>
        <n v="3800743.47"/>
        <n v="1832000"/>
        <n v="83004.070000000007"/>
        <n v="429640.74"/>
        <n v="28485329"/>
        <n v="2675490.1"/>
        <n v="-121712214.8"/>
        <n v="348547.96"/>
        <n v="41339316.090000004"/>
        <n v="9396203.5800000001"/>
        <n v="731702.12"/>
        <n v="5031760.8499999996"/>
        <n v="1842353.65"/>
        <n v="850385.58"/>
        <n v="-5242081.82"/>
        <n v="363622.88"/>
        <n v="3097397.5"/>
        <n v="210735270.78999999"/>
        <n v="36604855.710000001"/>
        <n v="332544"/>
        <n v="5902680"/>
        <n v="30494351.329999998"/>
        <n v="317625.2"/>
        <n v="5221965.3899999997"/>
        <n v="271523.77"/>
        <n v="17045943.210000001"/>
        <n v="119765131.59"/>
        <n v="45002.9"/>
        <n v="11922503.51"/>
        <n v="80840353.469999999"/>
        <n v="-1574"/>
        <n v="15870985.220000001"/>
        <n v="67546078.109999999"/>
        <n v="69716186.799999997"/>
        <n v="802392.47"/>
        <n v="347752.04"/>
        <n v="125866"/>
        <n v="1275005790.73"/>
        <n v="4892253.4800000004"/>
        <n v="1548029.22"/>
        <n v="2638646767"/>
        <n v="438085.69"/>
        <n v="54738462.439999998"/>
        <n v="328137.89"/>
        <n v="850149.58"/>
        <n v="25243397.59"/>
        <n v="2142569.84"/>
        <n v="46710796203.480003"/>
        <n v="50580335.700000003"/>
        <n v="312420338.95999998"/>
        <n v="302488586.81999999"/>
        <n v="1204503.8999999999"/>
        <n v="6442311.4800000004"/>
        <n v="476419680.63"/>
        <n v="-2000"/>
        <n v="4993072.72"/>
        <n v="41000012.640000001"/>
        <n v="8129473.79"/>
        <n v="1538958.09"/>
        <n v="25860359.539999999"/>
        <n v="169267147.34999999"/>
        <n v="20857787.149999999"/>
        <n v="1454647.97"/>
        <n v="11267521.699999999"/>
        <n v="404255177.69"/>
        <n v="59782717.630000003"/>
        <n v="5927408.6200000001"/>
        <n v="435679770.00999999"/>
        <n v="24270.36"/>
        <n v="37344.43"/>
        <n v="1947095498.5799999"/>
        <n v="263457.51"/>
        <n v="11712207.619999999"/>
        <n v="21742003.48"/>
        <n v="252338929.49000001"/>
        <n v="155814713.37"/>
        <n v="7357823.8399999999"/>
        <n v="39660396.049999997"/>
        <n v="260653052.47"/>
        <n v="63439261.969999999"/>
        <n v="374616.09"/>
        <n v="69666375.469999999"/>
        <n v="196813642.52000001"/>
        <n v="662491.13"/>
        <n v="448782046.41000003"/>
        <n v="1684800788.3699999"/>
        <n v="55627010.210000001"/>
        <n v="92117267.950000003"/>
        <n v="760076.76"/>
        <n v="29484051.350000001"/>
        <n v="160852671.77000001"/>
        <n v="657052405.32000005"/>
        <n v="7927060.1500000004"/>
        <n v="2623921.09"/>
        <n v="433301.81"/>
        <n v="156333947.47999999"/>
        <n v="41138169.619999997"/>
        <n v="10540704.24"/>
        <n v="70187211.209999993"/>
        <n v="8698600.9399999995"/>
        <n v="371846176.00999999"/>
        <n v="865459.54"/>
        <n v="1452560.17"/>
        <n v="64442407.18"/>
        <n v="9797826.7200000007"/>
        <n v="4294536.28"/>
        <n v="205670197.40000001"/>
        <n v="23226699.09"/>
        <n v="205339.02"/>
        <n v="9183487.6300000008"/>
        <n v="10407086.65"/>
        <n v="1070381652.35"/>
        <n v="7781113.4699999997"/>
        <n v="167411518.21000001"/>
        <n v="1617524.61"/>
        <n v="98102786.359999999"/>
        <n v="1842805.8"/>
        <n v="4641241199.6999998"/>
        <n v="6322083.2599999998"/>
        <n v="68480776.900000006"/>
        <n v="292352642.44"/>
        <n v="10651944.08"/>
        <n v="26954072.940000001"/>
        <n v="28377627.789999999"/>
        <n v="376310714.68000001"/>
        <n v="5841358.04"/>
        <n v="3905373.01"/>
        <n v="243950222.88"/>
        <n v="171285506.97999999"/>
        <n v="53722481.979999997"/>
        <n v="396588441"/>
        <n v="6713780793.9300003"/>
        <n v="171859425.44999999"/>
        <n v="883737692.45000005"/>
        <n v="105118442.53"/>
        <n v="849745400.66999996"/>
        <n v="1121340749.3299999"/>
        <n v="160428571.22"/>
        <n v="14139129.1"/>
        <n v="8608805453.8500004"/>
        <n v="829338438.87"/>
        <n v="1573160349.03"/>
        <n v="13502426.970000001"/>
        <n v="49110309.609999999"/>
        <n v="473221414.14999998"/>
        <n v="335641114.76999998"/>
        <n v="4135206033.98"/>
        <n v="2522246.67"/>
        <n v="2455847299.0599999"/>
        <n v="599117.63"/>
        <n v="273900"/>
        <n v="505000000"/>
        <n v="26956.86"/>
        <n v="6271890"/>
        <n v="2200000"/>
        <n v="144086.57"/>
        <n v="12000000"/>
        <n v="1307.3800000000001"/>
        <n v="91000"/>
        <n v="43990"/>
        <n v="301634088.14999998"/>
        <n v="90500"/>
        <n v="23544824.82"/>
        <n v="177320.95999999999"/>
        <n v="468040642"/>
        <n v="682730"/>
        <n v="16015670.050000001"/>
        <n v="409074.81"/>
        <n v="26275.24"/>
        <n v="20865892.260000002"/>
        <n v="9828174.8800000008"/>
        <n v="102491.27"/>
        <n v="128449.07"/>
        <n v="144765.01"/>
        <n v="152308.18"/>
        <n v="387896.6"/>
        <n v="2960800"/>
        <n v="129322588.09999999"/>
        <n v="215718.08"/>
        <n v="199628.36"/>
        <n v="16500000"/>
        <n v="165750000000"/>
        <n v="742000"/>
        <n v="4115870.06"/>
        <n v="34746267.479999997"/>
        <n v="1322078832.8199999"/>
        <n v="83234242.909999996"/>
        <n v="190980.89"/>
        <n v="1713253103.3900001"/>
        <n v="308091.53999999998"/>
        <n v="704521.6"/>
        <n v="85979.65"/>
        <n v="35628797.640000001"/>
        <n v="190058.38"/>
        <n v="424283.56"/>
        <n v="1049876.55"/>
        <n v="16574.2"/>
        <n v="1500000"/>
        <n v="-27941.69"/>
        <n v="3006517.61"/>
        <n v="548900"/>
        <n v="831051.73"/>
        <n v="-68894.720000000001"/>
        <n v="5004087.91"/>
        <n v="3418074.69"/>
        <n v="120000"/>
        <n v="39261.040000000001"/>
        <n v="-1354786.81"/>
        <n v="1582658.61"/>
        <n v="11687285.27"/>
        <n v="96448.05"/>
        <n v="54236.9"/>
        <n v="114983"/>
        <n v="29488.87"/>
        <n v="117043413509.00999"/>
        <n v="129012.1"/>
        <n v="119292.21"/>
        <n v="-4996.99"/>
        <n v="55734811"/>
        <n v="4238035.26"/>
        <n v="6200000"/>
        <n v="4483794.08"/>
        <n v="133072"/>
        <n v="90600000"/>
        <n v="100110.18"/>
        <n v="1668457145"/>
        <n v="213555.39"/>
        <n v="78000"/>
        <n v="371627.1"/>
        <n v="1007000"/>
        <n v="990466.25"/>
        <n v="12817228.08"/>
        <n v="-612"/>
        <n v="230359667.13"/>
        <n v="34744178.060000002"/>
        <n v="46279.26"/>
        <n v="46091011.009999998"/>
        <n v="338367853.44999999"/>
        <n v="-422.46"/>
        <n v="100175.76"/>
        <n v="2527930.58"/>
        <n v="950000"/>
        <n v="3109016.35"/>
        <n v="63759138.780000001"/>
        <n v="37853731.850000001"/>
        <n v="7200"/>
        <n v="1613871.21"/>
        <n v="2010244.24"/>
        <n v="76672629.989999995"/>
        <n v="9935297.3499999996"/>
        <n v="300000"/>
        <n v="30296733.91"/>
        <n v="1705812.59"/>
        <n v="20400779.359999999"/>
        <n v="47276447.420000002"/>
        <n v="243231945.63999999"/>
        <n v="121790278.26000001"/>
        <n v="373784.93"/>
        <n v="7069428.2199999997"/>
        <n v="1533"/>
        <n v="168095690.47999999"/>
        <n v="27389"/>
        <n v="7083409.6799999997"/>
        <n v="109551.03999999999"/>
        <n v="5354681.2"/>
        <n v="585428.31999999995"/>
        <n v="40380407.619999997"/>
        <n v="6272121.3799999999"/>
        <n v="1432088.58"/>
        <n v="127795.49"/>
        <n v="264959175.41999999"/>
        <n v="554064.28"/>
        <n v="323399.64"/>
        <n v="60829475.82"/>
        <n v="86000"/>
        <n v="-16284.69"/>
        <n v="88600167.840000004"/>
        <n v="2094997.79"/>
        <n v="18325252.5"/>
        <n v="1071130.2"/>
        <n v="13794092.029999999"/>
        <n v="38281804.039999999"/>
        <n v="3829074.71"/>
        <n v="113888426.29000001"/>
        <n v="922039.83"/>
        <n v="1811488.19"/>
        <n v="19539688.34"/>
        <n v="60017.72"/>
        <n v="53812415.270000003"/>
        <n v="1230444.33"/>
        <n v="112975427.20999999"/>
        <n v="582499.21"/>
        <n v="24064827.239999998"/>
        <n v="3000"/>
        <n v="377953.06"/>
        <n v="7215002.0099999998"/>
        <n v="926578.5"/>
        <n v="83589125.269999996"/>
        <n v="5010331.04"/>
        <n v="-18295.12"/>
        <n v="159438.54"/>
        <n v="32687898.16"/>
        <n v="10338578.15"/>
        <n v="204733.99"/>
        <n v="20964199.5"/>
        <n v="92162.95"/>
        <n v="17522390.68"/>
        <n v="2069584.62"/>
        <n v="12488681.199999999"/>
        <n v="560307934.69000006"/>
        <n v="62094738.859999999"/>
        <n v="347705.92"/>
        <n v="90654075.980000004"/>
        <n v="4320422.62"/>
        <n v="46288449.119999997"/>
        <n v="63818493.75"/>
        <n v="721915733.26999998"/>
        <n v="1092626193.0899999"/>
        <n v="27269874.109999999"/>
        <n v="19898848.309999999"/>
        <n v="97903100.739999995"/>
        <n v="30620853.82"/>
        <n v="3002637.41"/>
        <n v="7451738.04"/>
        <n v="148466517.71000001"/>
        <n v="3824064719.52"/>
        <n v="122799098.88"/>
        <n v="56306.63"/>
        <n v="4947849.3"/>
        <n v="98427080.599999994"/>
        <n v="85166300.010000005"/>
        <n v="57665317.789999999"/>
        <n v="37057161.829999998"/>
        <n v="3027331.5"/>
        <n v="170854082.03"/>
        <n v="591790611.38"/>
        <n v="214636758.31"/>
        <n v="1759973704.1099999"/>
        <n v="102960959.59"/>
        <n v="69390651.420000002"/>
        <n v="13496526.66"/>
        <n v="137116764.12"/>
        <n v="33742564.240000002"/>
        <n v="64685659.090000004"/>
        <n v="26090218.899999999"/>
        <n v="88029215.480000004"/>
        <n v="37132638"/>
        <n v="125047308.23"/>
        <n v="526857674.75999999"/>
        <n v="5387892.5899999999"/>
        <n v="7286284.3799999999"/>
        <n v="40037855.210000001"/>
        <n v="65053809.359999999"/>
        <n v="10350757.42"/>
        <n v="370580538.88999999"/>
        <n v="63678159.359999999"/>
        <n v="1753939335.96"/>
        <n v="17673147.27"/>
        <n v="370645499.12"/>
        <n v="18008342.32"/>
        <n v="2488939.2999999998"/>
        <n v="890537087.25999999"/>
        <n v="935985.75"/>
        <n v="220204645.12"/>
        <n v="148569076.37"/>
        <n v="16873269.469999999"/>
        <n v="130008023.06"/>
        <n v="48498890.299999997"/>
        <n v="10224665.41"/>
        <n v="8798120668.1900005"/>
        <n v="216820468.93000001"/>
        <n v="22766420.09"/>
        <n v="21852902.219999999"/>
        <n v="55481878.539999999"/>
        <n v="11830769.550000001"/>
        <n v="23328818.600000001"/>
        <n v="1819500791.95"/>
        <n v="90604056.480000004"/>
        <n v="81915.8"/>
        <n v="6926084613.1000004"/>
        <n v="677271568.77999997"/>
        <n v="22198285715.560001"/>
        <n v="-53154516.420000002"/>
        <n v="7181418.2400000002"/>
        <n v="4564291.24"/>
        <n v="2517980.2999999998"/>
        <n v="31095662.489999998"/>
        <n v="300682565"/>
        <n v="4845709.1900000004"/>
        <n v="134395629.28999999"/>
        <n v="4977949787.9300003"/>
        <n v="282332059.67000002"/>
        <n v="1819050.3"/>
        <n v="1416218460.9100001"/>
        <n v="3363852.77"/>
        <n v="32951940.32"/>
        <n v="581037813.22000003"/>
        <n v="264469185.78"/>
        <n v="1224838310.3099999"/>
        <n v="36449748.130000003"/>
        <n v="948437612.04999995"/>
        <n v="140515810.38999999"/>
        <n v="259596754.41999999"/>
        <n v="5109751.87"/>
        <n v="222089.83"/>
        <n v="107624"/>
        <n v="1632164.26"/>
        <n v="4505.5"/>
        <n v="3023622.58"/>
        <n v="49533938"/>
        <n v="57090.62"/>
        <n v="2577930"/>
        <n v="493643.76"/>
        <n v="173457.12"/>
        <n v="1106941.6200000001"/>
        <n v="-390165.04"/>
        <n v="3248096.95"/>
        <n v="15016903.42"/>
        <n v="1283276.3"/>
        <n v="-427410.16"/>
        <n v="45000"/>
        <n v="233163.9"/>
        <n v="189337973.16999999"/>
        <n v="286085"/>
        <n v="83750.880000000005"/>
        <n v="-1542.45"/>
        <n v="550000"/>
        <n v="281843752247.21997"/>
        <n v="13333.34"/>
        <n v="458910.25"/>
        <n v="5237088"/>
        <n v="347000"/>
        <n v="500000"/>
        <n v="3249.41"/>
        <n v="1710759.34"/>
        <n v="451155.19"/>
        <n v="136032.32999999999"/>
        <n v="1834002.41"/>
        <n v="239425.41"/>
        <n v="12122931.99"/>
        <n v="706140"/>
        <n v="35860318.119999997"/>
        <n v="6458098.7699999996"/>
        <n v="477870.8"/>
        <n v="55213.93"/>
        <n v="345915"/>
        <n v="583037.48"/>
        <n v="7869289.0099999998"/>
        <n v="6000000"/>
        <n v="245002.42"/>
        <n v="20365960.02"/>
        <n v="45279564353.650002"/>
        <n v="69807.33"/>
        <n v="18505.57"/>
        <n v="284000"/>
        <n v="346525.93"/>
        <n v="680730.94"/>
        <n v="141182.39999999999"/>
        <n v="159986.44"/>
        <n v="1979028629.26"/>
        <n v="56385000"/>
        <n v="3300000"/>
        <n v="68941470.069999993"/>
        <n v="635249.48"/>
        <n v="-1155000"/>
        <n v="56396451.530000001"/>
        <n v="65304.75"/>
        <n v="-5529.49"/>
        <n v="4231249.63"/>
        <n v="1800000"/>
        <n v="4091722.64"/>
        <n v="77657.91"/>
        <n v="1062420"/>
        <n v="8195560.96"/>
        <n v="29712.95"/>
        <n v="74272.399999999994"/>
        <n v="11994091.210000001"/>
        <n v="15185.37"/>
        <n v="1135823"/>
        <n v="15456337.880000001"/>
        <n v="10464365.9"/>
        <n v="77450936.849999994"/>
        <n v="6823004.5499999998"/>
        <n v="5766000.9400000004"/>
        <n v="690185.12"/>
        <n v="1195724.51"/>
        <n v="35264540.219999999"/>
        <n v="1830167.58"/>
        <n v="791361.03"/>
        <n v="1781895563.6500001"/>
        <n v="276516.12"/>
        <n v="3732771.32"/>
        <n v="1502733.75"/>
        <n v="957985.55"/>
        <n v="11607955.279999999"/>
        <n v="3413058.19"/>
        <n v="1500132"/>
        <n v="7215555.0899999999"/>
        <n v="68060.850000000006"/>
        <n v="69883623.310000002"/>
        <n v="1880053.71"/>
        <n v="1855120.06"/>
        <n v="149515760.28"/>
        <n v="-170344989.56999999"/>
        <n v="179213750.00999999"/>
        <n v="27563629.949999999"/>
        <n v="338589.44"/>
        <n v="86858.65"/>
        <n v="10841.6"/>
        <n v="16578829.869999999"/>
        <n v="263864595.56999999"/>
        <n v="16335.78"/>
        <n v="7114409.4900000002"/>
        <n v="57442128.530000001"/>
        <n v="7556163.4699999997"/>
        <n v="64887.199999999997"/>
        <n v="50000000"/>
        <n v="7151714.5300000003"/>
        <n v="-22128.06"/>
        <n v="-447137.72"/>
        <n v="12444565.57"/>
        <n v="4763950.01"/>
        <n v="657898.80000000005"/>
        <n v="5996943.29"/>
        <n v="334110.27"/>
        <n v="742359.46"/>
        <n v="1385591.97"/>
        <n v="11249956.74"/>
        <n v="7857853.4100000001"/>
        <n v="53000"/>
        <n v="384507.91"/>
        <n v="32622643.41"/>
        <n v="54453578.229999997"/>
        <n v="8073708.8099999996"/>
        <n v="1201869.8899999999"/>
        <n v="399000"/>
        <n v="9490"/>
        <n v="38851482.219999999"/>
        <n v="13769179.27"/>
        <n v="97190887.260000005"/>
        <n v="11848537.42"/>
        <n v="1729321035.1900001"/>
        <n v="11115720987.860001"/>
        <n v="108223834.15000001"/>
        <n v="33966745.140000001"/>
        <n v="25788204.66"/>
        <n v="2126290.86"/>
        <n v="6771296.9500000002"/>
        <n v="254378.81"/>
        <n v="793739"/>
        <n v="5866158.0999999996"/>
        <n v="208668028.68000001"/>
        <n v="484403823.35000002"/>
        <n v="11913253.119999999"/>
        <n v="7480031.1799999997"/>
        <n v="9185726.9399999995"/>
        <n v="144795.69"/>
        <n v="389976366.72000003"/>
        <n v="5264391.71"/>
        <n v="60066245.560000002"/>
        <n v="2309634494.3200002"/>
        <n v="6182725.0700000003"/>
        <n v="34249607.439999998"/>
        <n v="269677266.79000002"/>
        <n v="95178489.040000007"/>
        <n v="796644.82"/>
        <n v="53983836.850000001"/>
        <n v="124311.76"/>
        <n v="-5581770.2699999996"/>
        <n v="2428970.13"/>
        <n v="2976504.2"/>
        <n v="876163.01"/>
        <n v="9475074"/>
        <n v="47528470.399999999"/>
        <n v="2031811.5"/>
        <n v="3823937605.8699999"/>
        <n v="1011141.46"/>
        <n v="654845.57999999996"/>
        <n v="492141.4"/>
        <n v="41829356.5"/>
        <n v="8167880.3399999999"/>
        <n v="22259876.960000001"/>
        <n v="527898265.13999999"/>
        <n v="9065079.3100000005"/>
        <n v="178306829.55000001"/>
        <n v="157872293.09"/>
        <n v="503956009.32999998"/>
        <n v="283194347.38999999"/>
        <n v="1299080038.4400001"/>
        <n v="325130345.88"/>
        <n v="234869700.97999999"/>
        <n v="92223878.879999995"/>
        <n v="86497439.689999998"/>
        <n v="567330739.62"/>
        <n v="1436629.47"/>
        <n v="-160221.98000000001"/>
        <n v="-348942317.54000002"/>
        <n v="144228517.59"/>
        <n v="1354709998.97"/>
        <n v="72699398.560000002"/>
        <n v="22634515.93"/>
        <n v="128589650352.61"/>
        <n v="1205233.99"/>
        <n v="43733798.409999996"/>
        <n v="350856.69"/>
        <n v="5235730.74"/>
        <n v="2366016.09"/>
        <n v="179771953.49000001"/>
        <n v="23477198.379999999"/>
        <n v="3929653.13"/>
        <n v="2039983.76"/>
        <n v="1051914.47"/>
        <n v="17202898.059999999"/>
        <n v="9939194.1199999992"/>
        <n v="75612343.560000002"/>
        <n v="10761985.220000001"/>
        <n v="11460381.390000001"/>
        <n v="154707841.72999999"/>
        <n v="339113333.67000002"/>
        <n v="188250790.34"/>
        <n v="7505787.6299999999"/>
        <n v="5871094.1299999999"/>
        <n v="301836.23"/>
        <n v="3303068898.48"/>
        <n v="126343550.05"/>
        <n v="6720858"/>
        <n v="109735667.83"/>
        <n v="68180380.590000004"/>
        <n v="25701145.280000001"/>
        <n v="7959152098.3800001"/>
        <n v="274879870.97000003"/>
        <n v="798161776.98000002"/>
        <n v="290727381.61000001"/>
        <n v="5263185.2"/>
        <n v="934197400.26999998"/>
        <n v="236469016.69"/>
        <n v="1996377244.75"/>
        <n v="23257267.48"/>
        <n v="21541664.800000001"/>
        <n v="142406437.31"/>
        <n v="169109818.46000001"/>
        <n v="1927423458.1300001"/>
        <n v="1574505.74"/>
        <n v="6349331278.1800003"/>
        <n v="645101005.86000001"/>
        <n v="211103083.13"/>
        <n v="26200"/>
        <n v="203090.29"/>
        <n v="34300665.259999998"/>
        <n v="38298.080000000002"/>
        <n v="133806000.94"/>
        <n v="7827630"/>
        <n v="271287.06"/>
        <n v="6526419.5199999996"/>
        <n v="26565"/>
        <n v="6316428.8399999999"/>
        <n v="1025656062"/>
        <n v="-314781.74"/>
        <n v="11000000"/>
        <n v="88880.73"/>
        <n v="3213045537.5100002"/>
        <n v="38909.47"/>
        <n v="2240363.0299999998"/>
        <n v="99694.99"/>
        <n v="116583.11"/>
        <n v="280000"/>
        <n v="18500000"/>
        <n v="101845.96"/>
        <n v="14661.36"/>
        <n v="122727043.17"/>
        <n v="1524183.56"/>
        <n v="1810261.82"/>
        <n v="43229.21"/>
        <n v="52885492"/>
        <n v="474519.57"/>
        <n v="28000"/>
        <n v="541300"/>
        <n v="246786903.11000001"/>
        <n v="7995395.9699999997"/>
        <n v="343000000"/>
        <n v="82956.3"/>
        <n v="-18652.75"/>
        <n v="931290.47"/>
        <n v="94022.1"/>
        <n v="700132"/>
        <n v="-165000"/>
        <n v="-4697.6499999999996"/>
        <n v="102505.5"/>
        <n v="62905.8"/>
        <n v="24737600.850000001"/>
        <n v="-267717.53999999998"/>
        <n v="-0.43"/>
        <n v="702683.26"/>
        <n v="303633.55"/>
        <n v="55918.06"/>
        <n v="7017104.1900000004"/>
        <n v="98949.66"/>
        <n v="64180"/>
        <n v="121671.75"/>
        <n v="13510063.35"/>
        <n v="144500"/>
        <n v="15736038.74"/>
        <n v="1571748"/>
        <n v="95002.4"/>
        <n v="-2777603.18"/>
        <n v="148084.73000000001"/>
        <n v="69493.86"/>
        <n v="423337.12"/>
        <n v="-24224.560000000001"/>
        <n v="30429882084.759998"/>
        <n v="90.22"/>
        <n v="41900851.920000002"/>
        <n v="408320.33"/>
        <n v="114791.49"/>
        <n v="3548194.96"/>
        <n v="477889.22"/>
        <n v="2735885.02"/>
        <n v="6400000"/>
        <n v="194891.93"/>
        <n v="2881016.21"/>
        <n v="1996491.11"/>
        <n v="54600"/>
        <n v="5439700"/>
        <n v="106737788.54000001"/>
        <n v="3952689.82"/>
        <n v="96751670"/>
        <n v="13106393.18"/>
        <n v="185173316.91999999"/>
        <n v="46989123.530000001"/>
        <n v="2350881.62"/>
        <n v="-34088.33"/>
        <n v="-99999"/>
        <n v="166528.32999999999"/>
        <n v="3887800.29"/>
        <n v="762091.61"/>
        <n v="2039744.25"/>
        <n v="2850000"/>
        <n v="800000"/>
        <n v="37209868.119999997"/>
        <n v="2527993.31"/>
        <n v="245195.09"/>
        <n v="3693.34"/>
        <n v="384773.96"/>
        <n v="1305954.31"/>
        <n v="11655358.07"/>
        <n v="300727.25"/>
        <n v="40864.629999999997"/>
        <n v="129974730.05"/>
        <n v="174763796.31"/>
        <n v="660486.40000000002"/>
        <n v="4268915.82"/>
        <n v="11139597.27"/>
        <n v="148502.39000000001"/>
        <n v="5695440.8399999999"/>
        <n v="111211773.8"/>
        <n v="284316.96000000002"/>
        <n v="263000"/>
        <n v="20568656.649999999"/>
        <n v="53347.7"/>
        <n v="1378487.88"/>
        <n v="-407207.9"/>
        <n v="11737831"/>
        <n v="418147.02"/>
        <n v="-3727.36"/>
        <n v="3005129.28"/>
        <n v="77904804.790000007"/>
        <n v="2034458412.99"/>
        <n v="-97943.07"/>
        <n v="25574130.120000001"/>
        <n v="1945828.17"/>
        <n v="2515374.1800000002"/>
        <n v="20199506.91"/>
        <n v="26292732.41"/>
        <n v="2174018.37"/>
        <n v="55443668.640000001"/>
        <n v="51000"/>
        <n v="28931251.289999999"/>
        <n v="14315051.529999999"/>
        <n v="396708.03"/>
        <n v="3793953.83"/>
        <n v="2420297600.5"/>
        <n v="5932708.9000000004"/>
        <n v="167382.53"/>
        <n v="3171862.33"/>
        <n v="486448.93"/>
        <n v="37745.18"/>
        <n v="13955263.130000001"/>
        <n v="1920288.34"/>
        <n v="89646869.810000002"/>
        <n v="105556395.84999999"/>
        <n v="10644916.560000001"/>
        <n v="-49768789.979999997"/>
        <n v="7647879.9699999997"/>
        <n v="5700036.79"/>
        <n v="201470013.66"/>
        <n v="433106.95"/>
        <n v="1960761.04"/>
        <n v="7255259.5999999996"/>
        <n v="308828908.86000001"/>
        <n v="1960869.04"/>
        <n v="14743727.029999999"/>
        <n v="31769594.170000002"/>
        <n v="14687474.140000001"/>
        <n v="270000"/>
        <n v="4886379.95"/>
        <n v="2308040.12"/>
        <n v="35480789.719999999"/>
        <n v="407686625.98000002"/>
        <n v="2167523"/>
        <n v="143865563.88"/>
        <n v="185686819.16999999"/>
        <n v="16907423.120000001"/>
        <n v="97483.01"/>
        <n v="218296118.33000001"/>
        <n v="28818353.57"/>
        <n v="5187179.34"/>
        <n v="380224387.20999998"/>
        <n v="1520503103.3099999"/>
        <n v="103839228.7"/>
        <n v="24017409.98"/>
        <n v="43676785.030000001"/>
        <n v="71439077.359999999"/>
        <n v="48793334.670000002"/>
        <n v="685348915.14999998"/>
        <n v="-221848295.27000001"/>
        <n v="25367246.23"/>
        <n v="1684005.25"/>
        <n v="123097.35"/>
        <n v="279267317.77999997"/>
        <n v="170518685.63"/>
        <n v="7594368.6100000003"/>
        <n v="210368.9"/>
        <n v="4495529506.3000002"/>
        <n v="148385859"/>
        <n v="1117792.1299999999"/>
        <n v="1140954718.4300001"/>
        <n v="-33528.33"/>
        <n v="10922055.210000001"/>
        <n v="34511796.670000002"/>
        <n v="2141794.06"/>
        <n v="678578511.41999996"/>
        <n v="170114707.75999999"/>
        <n v="17018952.870000001"/>
        <n v="8081485.5700000003"/>
        <n v="284498369.20999998"/>
        <n v="3327876.98"/>
        <n v="62829159.32"/>
        <n v="891817170.89999998"/>
        <n v="6288783.5800000001"/>
        <n v="301238910.00999999"/>
        <n v="2018533.05"/>
        <n v="4431348.74"/>
        <n v="57537449.100000001"/>
        <n v="25085648.59"/>
        <n v="11409972.220000001"/>
        <n v="2788495.87"/>
        <n v="240062133.71000001"/>
        <n v="240010941.40000001"/>
        <n v="7558467.1699999999"/>
        <n v="1607778822.0599999"/>
        <n v="2440420.9500000002"/>
        <n v="4996754.93"/>
        <n v="2029815.26"/>
        <n v="4079686.84"/>
        <n v="86978260.709999993"/>
        <n v="8533298.0299999993"/>
        <n v="375292457.72000003"/>
        <n v="92640749.019999996"/>
        <n v="8444840341.4499998"/>
        <n v="3133722.47"/>
        <n v="1184934040.1400001"/>
        <n v="8320427722.1499996"/>
        <n v="18414403.079999998"/>
        <n v="35328374.409999996"/>
        <n v="2025561.74"/>
        <n v="2719238.57"/>
        <n v="26823457.640000001"/>
        <n v="215939860.53"/>
        <n v="20558962.010000002"/>
        <n v="-22786131.16"/>
        <n v="61377371.619999997"/>
        <n v="4516614.99"/>
        <n v="9787444896.7199993"/>
        <n v="268634056.81999999"/>
        <n v="866443106.37"/>
        <n v="148735767466.48001"/>
        <n v="220403534.19999999"/>
        <n v="6927702862.04"/>
        <n v="1515168246.8900001"/>
        <n v="1272182584.8099999"/>
        <n v="7914871.5800000001"/>
        <n v="499765422.41000003"/>
        <n v="71353434281.470001"/>
        <n v="494570319.06"/>
        <n v="115992214.65000001"/>
        <n v="-8520.5400000000009"/>
        <n v="161925.17000000001"/>
        <n v="22149.88"/>
        <n v="193077.21"/>
        <n v="821700"/>
        <n v="20786"/>
        <n v="1521676.01"/>
        <n v="6330"/>
        <n v="-43990"/>
        <n v="10302592.699999999"/>
        <n v="767888.85"/>
        <n v="48205.18"/>
        <n v="-100010"/>
        <n v="4139.08"/>
        <n v="-15801821.039999999"/>
        <n v="13163811"/>
        <n v="20791.63"/>
        <n v="157435.46"/>
        <n v="1219606.03"/>
        <n v="123135.62"/>
        <n v="167859.66"/>
        <n v="741662.86"/>
        <n v="1312974321.6600001"/>
        <n v="71828.710000000006"/>
        <n v="2176627.06"/>
        <n v="19341081.899999999"/>
        <n v="96773.23"/>
        <n v="134728"/>
        <n v="195408.9"/>
        <n v="1665346.84"/>
        <n v="152547.42000000001"/>
        <n v="804781.08"/>
        <n v="383908.68"/>
        <n v="563305.32999999996"/>
        <n v="2620106"/>
        <n v="480515.3"/>
        <n v="3170092.96"/>
        <n v="979323.64"/>
        <n v="10804505.26"/>
        <n v="170969.45"/>
        <n v="1504.5"/>
        <n v="37909.74"/>
        <n v="14174454155.58"/>
        <n v="230000"/>
        <n v="18652.75"/>
        <n v="658629.37"/>
        <n v="72122.12"/>
        <n v="1858381.75"/>
        <n v="48689.38"/>
        <n v="7267895.7999999998"/>
        <n v="205569"/>
        <n v="49172.9"/>
        <n v="156709.32"/>
        <n v="10414.879999999999"/>
        <n v="27375268"/>
        <n v="17205007.539999999"/>
        <n v="913840.85"/>
        <n v="2578232.4300000002"/>
        <n v="152.46"/>
        <n v="149534.18"/>
        <n v="23530353.100000001"/>
        <n v="-507006.69"/>
        <n v="873160.64"/>
        <n v="887735919.33000004"/>
        <n v="12639.95"/>
        <n v="2826219648.0100002"/>
        <n v="-10037379.369999999"/>
        <n v="1100000"/>
        <n v="50225650"/>
        <n v="15866930.550000001"/>
        <n v="18147375.800000001"/>
        <n v="85907399.409999996"/>
        <n v="1975542.35"/>
        <n v="1094213.07"/>
        <n v="60538.879999999997"/>
        <n v="75332.59"/>
        <n v="-5970559.1399999997"/>
        <n v="7124565.7199999997"/>
        <n v="46108612.520000003"/>
        <n v="64623265.68"/>
        <n v="6180535.04"/>
        <n v="3332359.34"/>
        <n v="5124068.8499999996"/>
        <n v="45853382.710000001"/>
        <n v="54839068.149999999"/>
        <n v="13457003.960000001"/>
        <n v="16997413.170000002"/>
        <n v="479657.44"/>
        <n v="62200.17"/>
        <n v="114600.46"/>
        <n v="21420702.739999998"/>
        <n v="96747.89"/>
        <n v="115386091.03"/>
        <n v="13106479.460000001"/>
        <n v="40809.879999999997"/>
        <n v="1310132"/>
        <n v="14826956.939999999"/>
        <n v="3474587.72"/>
        <n v="3911.29"/>
        <n v="6595888.4100000001"/>
        <n v="2899880.66"/>
        <n v="3286869.17"/>
        <n v="-18783.66"/>
        <n v="1244271.3500000001"/>
        <n v="452000"/>
        <n v="26111967.199999999"/>
        <n v="345234.72"/>
        <n v="1498521.05"/>
        <n v="10509907.539999999"/>
        <n v="981912.11"/>
        <n v="-407835.92"/>
        <n v="2594250.48"/>
        <n v="10786012.880000001"/>
        <n v="534088.95999999996"/>
        <n v="21139317.41"/>
        <n v="1358599.88"/>
        <n v="6524427"/>
        <n v="67357064.060000002"/>
        <n v="3370924"/>
        <n v="131598.39999999999"/>
        <n v="26660742.82"/>
        <n v="15212217.539999999"/>
        <n v="973586523.26999998"/>
        <n v="1421464.25"/>
        <n v="4901189.3499999996"/>
        <n v="134143432.08"/>
        <n v="-9813159.3000000007"/>
        <n v="761889.8"/>
        <n v="9528288"/>
        <n v="-38636.370000000003"/>
        <n v="7074460.0499999998"/>
        <n v="217457711.68000001"/>
        <n v="73808514.450000003"/>
        <n v="2315158.58"/>
        <n v="36951329963.57"/>
        <n v="2221030.89"/>
        <n v="127822090.45999999"/>
        <n v="814843.84"/>
        <n v="846179.88"/>
        <n v="866473264.23000002"/>
        <n v="8892743.2100000009"/>
        <n v="2605355.7799999998"/>
        <n v="2184628.15"/>
        <n v="729729.98"/>
        <n v="327442781.55000001"/>
        <n v="122332.11"/>
        <n v="2130096.9700000002"/>
        <n v="12729053.689999999"/>
        <n v="497380567.67000002"/>
        <n v="664438.5"/>
        <n v="-174781.86"/>
        <n v="279315611.47000003"/>
        <n v="16237115.57"/>
        <n v="-69023"/>
        <n v="27867724.199999999"/>
        <n v="276136.73"/>
        <n v="6196503.71"/>
        <n v="6947962.5999999996"/>
        <n v="3239735.62"/>
        <n v="16188075.59"/>
        <n v="42614879.119999997"/>
        <n v="2651285.9"/>
        <n v="1175708437.1400001"/>
        <n v="38800.410000000003"/>
        <n v="32267090.030000001"/>
        <n v="722666.07"/>
        <n v="2786359.41"/>
        <n v="56902037.439999998"/>
        <n v="1589224.95"/>
        <n v="594787.73"/>
        <n v="3815660.47"/>
        <n v="56602979.5"/>
        <n v="663724693.03999996"/>
        <n v="78222023.170000002"/>
        <n v="847514.91"/>
        <n v="13950893.119999999"/>
        <n v="4602004.51"/>
        <n v="937532822.41999996"/>
        <n v="1788697.36"/>
        <n v="7511487.4699999997"/>
        <n v="208036731.50999999"/>
        <n v="1707610.51"/>
        <n v="229647.3"/>
        <n v="32003986.289999999"/>
        <n v="28976316.170000002"/>
        <n v="24829985.84"/>
        <n v="-122121.27"/>
        <n v="22138890.920000002"/>
        <n v="4062319.69"/>
        <n v="6070462.4199999999"/>
        <n v="37548990.350000001"/>
        <n v="68147573.379999995"/>
        <n v="72628515.689999998"/>
        <n v="85990110.510000005"/>
        <n v="1143891907.8299999"/>
        <n v="804110393.24000001"/>
        <n v="36185566.5"/>
        <n v="2078874.21"/>
        <n v="10775522.630000001"/>
        <n v="389050014.43000001"/>
        <n v="3142272.78"/>
        <n v="10686598.58"/>
        <n v="1684033571.8299999"/>
        <n v="7701357.25"/>
        <n v="897006801.25"/>
        <n v="12607382.560000001"/>
        <n v="6779340.79"/>
        <n v="17174414.359999999"/>
        <n v="2709584057.1999998"/>
        <n v="8716900.3300000001"/>
        <n v="4104571.53"/>
        <n v="374217592.44999999"/>
        <n v="2322005552.8099999"/>
        <n v="93381.06"/>
        <n v="45106233.159999996"/>
        <n v="360545.54"/>
        <n v="6693061.0199999996"/>
        <n v="5742010.5099999998"/>
        <n v="6788827229.3500004"/>
        <n v="374769.63"/>
        <n v="4243079.08"/>
        <n v="1699406529.3900001"/>
        <n v="479392222.06"/>
        <n v="10459168.35"/>
        <n v="-18290955.149999999"/>
        <n v="1228154324.5599999"/>
        <n v="-56621514.530000001"/>
        <n v="17430995.420000002"/>
        <n v="190609744.5"/>
        <n v="540018398.16999996"/>
        <n v="598171027.62"/>
        <n v="14197020.07"/>
      </sharedItems>
    </cacheField>
    <cacheField name="Valor Liquidado" numFmtId="0">
      <sharedItems containsSemiMixedTypes="0" containsString="0" containsNumber="1" minValue="-7856378.7400000002" maxValue="420308958123.21002"/>
    </cacheField>
    <cacheField name="Valor Pago" numFmtId="0">
      <sharedItems containsSemiMixedTypes="0" containsString="0" containsNumber="1" minValue="-6058909.0999999996" maxValue="420308958123.21002"/>
    </cacheField>
    <cacheField name="Valor Restos a Pagar Pagos" numFmtId="0">
      <sharedItems containsSemiMixedTypes="0" containsString="0" containsNumber="1" minValue="-2000000" maxValue="47958906183.769997"/>
    </cacheField>
    <cacheField name="Meses" numFmtId="0" databaseField="0">
      <fieldGroup base="0">
        <rangePr groupBy="months" startDate="2023-01-01T00:00:00" endDate="2023-08-02T00:00:00"/>
        <groupItems count="14">
          <s v="&lt;01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8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80">
  <r>
    <x v="0"/>
    <x v="0"/>
    <s v="366 - Educação de jovens e adultos"/>
    <x v="0"/>
    <n v="0"/>
    <n v="0"/>
    <n v="187000"/>
  </r>
  <r>
    <x v="0"/>
    <x v="1"/>
    <s v="482 - Habitação urbana"/>
    <x v="0"/>
    <n v="0"/>
    <n v="0"/>
    <n v="486650"/>
  </r>
  <r>
    <x v="0"/>
    <x v="2"/>
    <s v="128 - Formação de recursos humanos"/>
    <x v="1"/>
    <n v="23535.599999999999"/>
    <n v="0"/>
    <n v="28906.240000000002"/>
  </r>
  <r>
    <x v="0"/>
    <x v="3"/>
    <s v="126 - Tecnologia da informação"/>
    <x v="0"/>
    <n v="0"/>
    <n v="0"/>
    <n v="400000"/>
  </r>
  <r>
    <x v="0"/>
    <x v="4"/>
    <s v="131 - Comunicação social"/>
    <x v="0"/>
    <n v="0"/>
    <n v="0"/>
    <n v="91585.07"/>
  </r>
  <r>
    <x v="0"/>
    <x v="5"/>
    <s v="631 - Reforma agrária"/>
    <x v="0"/>
    <n v="0"/>
    <n v="0"/>
    <n v="0"/>
  </r>
  <r>
    <x v="0"/>
    <x v="4"/>
    <s v="754 - Biocombustíveis"/>
    <x v="0"/>
    <n v="0"/>
    <n v="0"/>
    <n v="9185.89"/>
  </r>
  <r>
    <x v="0"/>
    <x v="3"/>
    <s v="542 - Controle ambiental"/>
    <x v="0"/>
    <n v="0"/>
    <n v="0"/>
    <n v="3000"/>
  </r>
  <r>
    <x v="0"/>
    <x v="6"/>
    <s v="846 - Outros encargos especiais"/>
    <x v="2"/>
    <n v="817099.64"/>
    <n v="817099.64"/>
    <n v="4422.78"/>
  </r>
  <r>
    <x v="0"/>
    <x v="7"/>
    <s v="422 - Direitos individuais, coletivos e difusos"/>
    <x v="0"/>
    <n v="0"/>
    <n v="0"/>
    <n v="95417.06"/>
  </r>
  <r>
    <x v="0"/>
    <x v="4"/>
    <s v="846 - Outros encargos especiais"/>
    <x v="3"/>
    <n v="4098500"/>
    <n v="3912116.68"/>
    <n v="5893.6"/>
  </r>
  <r>
    <x v="0"/>
    <x v="5"/>
    <s v="665 - Normalização e qualidade"/>
    <x v="0"/>
    <n v="0"/>
    <n v="0"/>
    <n v="12940"/>
  </r>
  <r>
    <x v="0"/>
    <x v="8"/>
    <s v="422 - Direitos individuais, coletivos e difusos"/>
    <x v="0"/>
    <n v="0"/>
    <n v="0"/>
    <n v="2655"/>
  </r>
  <r>
    <x v="0"/>
    <x v="9"/>
    <s v="846 - Outros encargos especiais"/>
    <x v="4"/>
    <n v="24762311.460000001"/>
    <n v="24762311.460000001"/>
    <n v="0"/>
  </r>
  <r>
    <x v="0"/>
    <x v="6"/>
    <s v="126 - Tecnologia da informação"/>
    <x v="0"/>
    <n v="0"/>
    <n v="0"/>
    <n v="12287.17"/>
  </r>
  <r>
    <x v="0"/>
    <x v="10"/>
    <s v="845 - Outras transferências"/>
    <x v="5"/>
    <n v="126493786.48999999"/>
    <n v="-19551.07"/>
    <n v="279350.36"/>
  </r>
  <r>
    <x v="0"/>
    <x v="4"/>
    <s v="753 - Combustíveis"/>
    <x v="6"/>
    <n v="0"/>
    <n v="0"/>
    <n v="566.45000000000005"/>
  </r>
  <r>
    <x v="0"/>
    <x v="11"/>
    <s v="842 - Refinanciamento da dívida externa"/>
    <x v="7"/>
    <n v="11615590000"/>
    <n v="11615590000"/>
    <n v="0"/>
  </r>
  <r>
    <x v="0"/>
    <x v="12"/>
    <s v="845 - Outras transferências"/>
    <x v="0"/>
    <n v="0"/>
    <n v="0"/>
    <n v="0"/>
  </r>
  <r>
    <x v="0"/>
    <x v="12"/>
    <s v="571 - Desenvolvimento científico"/>
    <x v="8"/>
    <n v="0"/>
    <n v="0"/>
    <n v="0"/>
  </r>
  <r>
    <x v="0"/>
    <x v="12"/>
    <s v="129 - Administração de receitas"/>
    <x v="0"/>
    <n v="0"/>
    <n v="0"/>
    <n v="80"/>
  </r>
  <r>
    <x v="0"/>
    <x v="13"/>
    <s v="126 - Tecnologia da informação"/>
    <x v="0"/>
    <n v="0"/>
    <n v="0"/>
    <n v="3169998"/>
  </r>
  <r>
    <x v="0"/>
    <x v="0"/>
    <s v="571 - Desenvolvimento científico"/>
    <x v="0"/>
    <n v="0"/>
    <n v="0"/>
    <n v="36700000"/>
  </r>
  <r>
    <x v="0"/>
    <x v="14"/>
    <s v="242 - Assistência ao portador de deficiência"/>
    <x v="0"/>
    <n v="0"/>
    <n v="0"/>
    <n v="0"/>
  </r>
  <r>
    <x v="0"/>
    <x v="6"/>
    <s v="691 - Promoção comercial"/>
    <x v="0"/>
    <n v="0"/>
    <n v="0"/>
    <n v="72456.86"/>
  </r>
  <r>
    <x v="0"/>
    <x v="5"/>
    <s v="846 - Outros encargos especiais"/>
    <x v="9"/>
    <n v="14810769.699999999"/>
    <n v="14810769.699999999"/>
    <n v="0"/>
  </r>
  <r>
    <x v="0"/>
    <x v="12"/>
    <s v="608 - Promoção da produção agropecuária"/>
    <x v="0"/>
    <n v="0"/>
    <n v="0"/>
    <n v="0"/>
  </r>
  <r>
    <x v="0"/>
    <x v="7"/>
    <s v="131 - Comunicação social"/>
    <x v="10"/>
    <n v="0"/>
    <n v="0"/>
    <n v="23692096.859999999"/>
  </r>
  <r>
    <x v="0"/>
    <x v="15"/>
    <s v="032 - Controle externo"/>
    <x v="0"/>
    <n v="0"/>
    <n v="0"/>
    <n v="2039.54"/>
  </r>
  <r>
    <x v="0"/>
    <x v="16"/>
    <s v="661 - Promoção industrial"/>
    <x v="0"/>
    <n v="0"/>
    <n v="0"/>
    <n v="59023.72"/>
  </r>
  <r>
    <x v="0"/>
    <x v="17"/>
    <s v="451 - infra-estrutura urbana"/>
    <x v="0"/>
    <n v="0"/>
    <n v="0"/>
    <n v="40616"/>
  </r>
  <r>
    <x v="0"/>
    <x v="18"/>
    <s v="571 - Desenvolvimento científico"/>
    <x v="0"/>
    <n v="0"/>
    <n v="0"/>
    <n v="26170541"/>
  </r>
  <r>
    <x v="0"/>
    <x v="17"/>
    <s v="482 - Habitação urbana"/>
    <x v="0"/>
    <n v="0"/>
    <n v="0"/>
    <n v="779.59"/>
  </r>
  <r>
    <x v="0"/>
    <x v="16"/>
    <s v="128 - Formação de recursos humanos"/>
    <x v="11"/>
    <n v="2216.08"/>
    <n v="0"/>
    <n v="58853.96"/>
  </r>
  <r>
    <x v="0"/>
    <x v="7"/>
    <s v="846 - Outros encargos especiais"/>
    <x v="12"/>
    <n v="77715528.450000003"/>
    <n v="77715528.450000003"/>
    <n v="9803.7000000000007"/>
  </r>
  <r>
    <x v="0"/>
    <x v="8"/>
    <s v="606 - Extensão rural"/>
    <x v="0"/>
    <n v="0"/>
    <n v="0"/>
    <n v="138393.62"/>
  </r>
  <r>
    <x v="0"/>
    <x v="14"/>
    <s v="243 - Assistência à criança e ao adolescente"/>
    <x v="0"/>
    <n v="0"/>
    <n v="0"/>
    <n v="4954942"/>
  </r>
  <r>
    <x v="0"/>
    <x v="18"/>
    <s v="422 - Direitos individuais, coletivos e difusos"/>
    <x v="0"/>
    <n v="0"/>
    <n v="0"/>
    <n v="610735.76"/>
  </r>
  <r>
    <x v="0"/>
    <x v="2"/>
    <s v="846 - Outros encargos especiais"/>
    <x v="13"/>
    <n v="11613939.92"/>
    <n v="11613939.92"/>
    <n v="78557.279999999999"/>
  </r>
  <r>
    <x v="0"/>
    <x v="12"/>
    <s v="211 - Relações diplomáticas"/>
    <x v="0"/>
    <n v="0"/>
    <n v="0"/>
    <n v="164184.64000000001"/>
  </r>
  <r>
    <x v="0"/>
    <x v="4"/>
    <s v="130 - Administração de concessões"/>
    <x v="14"/>
    <n v="0"/>
    <n v="0"/>
    <n v="318206.90000000002"/>
  </r>
  <r>
    <x v="0"/>
    <x v="19"/>
    <s v="128 - Formação de recursos humanos"/>
    <x v="15"/>
    <n v="0"/>
    <n v="0"/>
    <n v="127366.63"/>
  </r>
  <r>
    <x v="0"/>
    <x v="11"/>
    <s v="844 - Serviço da dívida externa"/>
    <x v="16"/>
    <n v="3581479612.1900001"/>
    <n v="3581479612.1900001"/>
    <n v="0"/>
  </r>
  <r>
    <x v="0"/>
    <x v="20"/>
    <s v="573 - Difusão do conhecimento científico e tecnológico"/>
    <x v="0"/>
    <n v="0"/>
    <n v="0"/>
    <n v="1395"/>
  </r>
  <r>
    <x v="0"/>
    <x v="9"/>
    <s v="062 - Defesa do interesse público no processo judiciário"/>
    <x v="0"/>
    <n v="0"/>
    <n v="0"/>
    <n v="69833.3"/>
  </r>
  <r>
    <x v="0"/>
    <x v="15"/>
    <s v="122 - Administração geral"/>
    <x v="17"/>
    <n v="0"/>
    <n v="0"/>
    <n v="246018.69"/>
  </r>
  <r>
    <x v="0"/>
    <x v="12"/>
    <s v="131 - Comunicação social"/>
    <x v="0"/>
    <n v="0"/>
    <n v="0"/>
    <n v="198128.85"/>
  </r>
  <r>
    <x v="0"/>
    <x v="4"/>
    <s v="211 - Relações diplomáticas"/>
    <x v="0"/>
    <n v="0"/>
    <n v="0"/>
    <n v="91669.31"/>
  </r>
  <r>
    <x v="0"/>
    <x v="20"/>
    <s v="366 - Educação de jovens e adultos"/>
    <x v="18"/>
    <n v="26761.13"/>
    <n v="26761.13"/>
    <n v="10831.11"/>
  </r>
  <r>
    <x v="0"/>
    <x v="7"/>
    <s v="306 - Alimentação e nutrição"/>
    <x v="0"/>
    <n v="0"/>
    <n v="0"/>
    <n v="160400"/>
  </r>
  <r>
    <x v="0"/>
    <x v="5"/>
    <s v="541 - Preservação e conservação ambiental"/>
    <x v="19"/>
    <n v="0"/>
    <n v="0"/>
    <n v="151530.92000000001"/>
  </r>
  <r>
    <x v="0"/>
    <x v="4"/>
    <s v="751 - Conservação de energia"/>
    <x v="20"/>
    <n v="1367102.83"/>
    <n v="803375.67"/>
    <n v="550927.29"/>
  </r>
  <r>
    <x v="0"/>
    <x v="1"/>
    <s v="846 - Outros encargos especiais"/>
    <x v="21"/>
    <n v="105353434.48"/>
    <n v="105353434.48"/>
    <n v="613499.05000000005"/>
  </r>
  <r>
    <x v="0"/>
    <x v="16"/>
    <s v="665 - Normalização e qualidade"/>
    <x v="22"/>
    <n v="0"/>
    <n v="0"/>
    <n v="390481.43"/>
  </r>
  <r>
    <x v="0"/>
    <x v="16"/>
    <s v="664 - Propriedade industrial"/>
    <x v="23"/>
    <n v="0"/>
    <n v="0"/>
    <n v="2272167.66"/>
  </r>
  <r>
    <x v="0"/>
    <x v="10"/>
    <s v="846 - Outros encargos especiais"/>
    <x v="24"/>
    <n v="42476171.770000003"/>
    <n v="42473495.409999996"/>
    <n v="2257.5"/>
  </r>
  <r>
    <x v="0"/>
    <x v="5"/>
    <s v="606 - Extensão rural"/>
    <x v="0"/>
    <n v="0"/>
    <n v="0"/>
    <n v="1419558"/>
  </r>
  <r>
    <x v="0"/>
    <x v="21"/>
    <s v="813 - Lazer"/>
    <x v="0"/>
    <n v="0"/>
    <n v="0"/>
    <n v="0"/>
  </r>
  <r>
    <x v="0"/>
    <x v="7"/>
    <s v="391 - Patrimônio histórico, artístico e arqueológico"/>
    <x v="25"/>
    <n v="175768.38"/>
    <n v="29476.400000000001"/>
    <n v="62928.95"/>
  </r>
  <r>
    <x v="0"/>
    <x v="22"/>
    <s v="571 - Desenvolvimento científico"/>
    <x v="26"/>
    <n v="29718.27"/>
    <n v="15784.94"/>
    <n v="94698.559999999998"/>
  </r>
  <r>
    <x v="0"/>
    <x v="8"/>
    <s v="127 - Ordenamento territorial"/>
    <x v="27"/>
    <n v="2297.0300000000002"/>
    <n v="1804.48"/>
    <n v="24004107.41"/>
  </r>
  <r>
    <x v="0"/>
    <x v="12"/>
    <s v="662 - Produção industrial"/>
    <x v="28"/>
    <n v="66510.850000000006"/>
    <n v="66418.47"/>
    <n v="3295504.32"/>
  </r>
  <r>
    <x v="0"/>
    <x v="0"/>
    <s v="131 - Comunicação social"/>
    <x v="29"/>
    <n v="0"/>
    <n v="0"/>
    <n v="183082.85"/>
  </r>
  <r>
    <x v="0"/>
    <x v="5"/>
    <s v="363 - Ensino profissional"/>
    <x v="0"/>
    <n v="0"/>
    <n v="0"/>
    <n v="210317.53"/>
  </r>
  <r>
    <x v="0"/>
    <x v="23"/>
    <s v="573 - Difusão do conhecimento científico e tecnológico"/>
    <x v="30"/>
    <n v="7061.01"/>
    <n v="0"/>
    <n v="432321.4"/>
  </r>
  <r>
    <x v="0"/>
    <x v="14"/>
    <s v="241 - Assistência ao idoso"/>
    <x v="0"/>
    <n v="0"/>
    <n v="0"/>
    <n v="1880"/>
  </r>
  <r>
    <x v="0"/>
    <x v="18"/>
    <s v="846 - Outros encargos especiais"/>
    <x v="31"/>
    <n v="3910010.04"/>
    <n v="3910010.04"/>
    <n v="0"/>
  </r>
  <r>
    <x v="0"/>
    <x v="23"/>
    <s v="571 - Desenvolvimento científico"/>
    <x v="32"/>
    <n v="253"/>
    <n v="253"/>
    <n v="850"/>
  </r>
  <r>
    <x v="0"/>
    <x v="3"/>
    <s v="212 - Cooperação internacional"/>
    <x v="0"/>
    <n v="0"/>
    <n v="0"/>
    <n v="214549.67"/>
  </r>
  <r>
    <x v="0"/>
    <x v="5"/>
    <s v="127 - Ordenamento territorial"/>
    <x v="0"/>
    <n v="0"/>
    <n v="0"/>
    <n v="0"/>
  </r>
  <r>
    <x v="0"/>
    <x v="14"/>
    <s v="331 - Proteção e benefícios ao trabalhador"/>
    <x v="33"/>
    <n v="996853.2"/>
    <n v="0"/>
    <n v="0"/>
  </r>
  <r>
    <x v="0"/>
    <x v="10"/>
    <s v="126 - Tecnologia da informação"/>
    <x v="34"/>
    <n v="53107352.840000004"/>
    <n v="16188132.98"/>
    <n v="26881478.84"/>
  </r>
  <r>
    <x v="0"/>
    <x v="22"/>
    <s v="334 - Fomento ao trabalho"/>
    <x v="35"/>
    <n v="745602973.94000006"/>
    <n v="745602973.94000006"/>
    <n v="1265915876.6500001"/>
  </r>
  <r>
    <x v="0"/>
    <x v="3"/>
    <s v="128 - Formação de recursos humanos"/>
    <x v="36"/>
    <n v="306700"/>
    <n v="306700"/>
    <n v="64649.75"/>
  </r>
  <r>
    <x v="0"/>
    <x v="13"/>
    <s v="122 - Administração geral"/>
    <x v="37"/>
    <n v="38168.65"/>
    <n v="34071.68"/>
    <n v="14616296"/>
  </r>
  <r>
    <x v="0"/>
    <x v="9"/>
    <s v="122 - Administração geral"/>
    <x v="38"/>
    <n v="70560.009999999995"/>
    <n v="69404.149999999994"/>
    <n v="41571.43"/>
  </r>
  <r>
    <x v="0"/>
    <x v="20"/>
    <s v="812 - Desporto comunitário"/>
    <x v="0"/>
    <n v="0"/>
    <n v="0"/>
    <n v="79319.399999999994"/>
  </r>
  <r>
    <x v="0"/>
    <x v="6"/>
    <s v="331 - Proteção e benefícios ao trabalhador"/>
    <x v="39"/>
    <n v="545923.21"/>
    <n v="8751.2000000000007"/>
    <n v="0"/>
  </r>
  <r>
    <x v="0"/>
    <x v="8"/>
    <s v="331 - Proteção e benefícios ao trabalhador"/>
    <x v="40"/>
    <n v="2626426.4900000002"/>
    <n v="26319.58"/>
    <n v="0"/>
  </r>
  <r>
    <x v="0"/>
    <x v="10"/>
    <s v="125 - Normatização e fiscalização"/>
    <x v="1"/>
    <n v="1604.86"/>
    <n v="1604.86"/>
    <n v="204586.15"/>
  </r>
  <r>
    <x v="0"/>
    <x v="20"/>
    <s v="722 - Telecomunicações"/>
    <x v="41"/>
    <n v="2101.6"/>
    <n v="2101.6"/>
    <n v="866903.08"/>
  </r>
  <r>
    <x v="0"/>
    <x v="23"/>
    <s v="512 - Saneamento básico urbano"/>
    <x v="42"/>
    <n v="0"/>
    <n v="0"/>
    <n v="10640802.16"/>
  </r>
  <r>
    <x v="0"/>
    <x v="18"/>
    <s v="301 - Atenção básica"/>
    <x v="0"/>
    <n v="0"/>
    <n v="0"/>
    <n v="2190697.1800000002"/>
  </r>
  <r>
    <x v="0"/>
    <x v="9"/>
    <s v="301 - Atenção básica"/>
    <x v="0"/>
    <n v="0"/>
    <n v="0"/>
    <n v="7797741.7599999998"/>
  </r>
  <r>
    <x v="0"/>
    <x v="22"/>
    <s v="126 - Tecnologia da informação"/>
    <x v="43"/>
    <n v="0"/>
    <n v="0"/>
    <n v="14344004.960000001"/>
  </r>
  <r>
    <x v="0"/>
    <x v="3"/>
    <s v="121 - Planejamento e orçamento"/>
    <x v="0"/>
    <n v="0"/>
    <n v="0"/>
    <n v="300000"/>
  </r>
  <r>
    <x v="0"/>
    <x v="6"/>
    <s v="693 - Comércio exterior"/>
    <x v="44"/>
    <n v="160709418.75999999"/>
    <n v="155354709.38"/>
    <n v="33104254.18"/>
  </r>
  <r>
    <x v="0"/>
    <x v="6"/>
    <s v="301 - Atenção básica"/>
    <x v="0"/>
    <n v="0"/>
    <n v="0"/>
    <n v="583244.68999999994"/>
  </r>
  <r>
    <x v="0"/>
    <x v="20"/>
    <s v="121 - Planejamento e orçamento"/>
    <x v="45"/>
    <n v="19932.990000000002"/>
    <n v="19932.990000000002"/>
    <n v="824.74"/>
  </r>
  <r>
    <x v="0"/>
    <x v="2"/>
    <s v="212 - Cooperação internacional"/>
    <x v="46"/>
    <n v="331070.24"/>
    <n v="331070.24"/>
    <n v="7000901.0899999999"/>
  </r>
  <r>
    <x v="0"/>
    <x v="12"/>
    <s v="573 - Difusão do conhecimento científico e tecnológico"/>
    <x v="47"/>
    <n v="242.96"/>
    <n v="242.96"/>
    <n v="420074.73"/>
  </r>
  <r>
    <x v="0"/>
    <x v="16"/>
    <s v="846 - Outros encargos especiais"/>
    <x v="48"/>
    <n v="7866312.5099999998"/>
    <n v="7850756.1399999997"/>
    <n v="32079.39"/>
  </r>
  <r>
    <x v="0"/>
    <x v="19"/>
    <s v="331 - Proteção e benefícios ao trabalhador"/>
    <x v="49"/>
    <n v="1904686.51"/>
    <n v="327552.56"/>
    <n v="0"/>
  </r>
  <r>
    <x v="0"/>
    <x v="10"/>
    <s v="128 - Formação de recursos humanos"/>
    <x v="50"/>
    <n v="7949.62"/>
    <n v="7949.62"/>
    <n v="0"/>
  </r>
  <r>
    <x v="0"/>
    <x v="0"/>
    <s v="694 - Serviços financeiros"/>
    <x v="51"/>
    <n v="339256747.37"/>
    <n v="339212777.63999999"/>
    <n v="80014536.629999995"/>
  </r>
  <r>
    <x v="0"/>
    <x v="4"/>
    <s v="665 - Normalização e qualidade"/>
    <x v="52"/>
    <n v="9408.0400000000009"/>
    <n v="9408.0400000000009"/>
    <n v="0"/>
  </r>
  <r>
    <x v="0"/>
    <x v="23"/>
    <s v="846 - Outros encargos especiais"/>
    <x v="53"/>
    <n v="13403110.300000001"/>
    <n v="13338569.65"/>
    <n v="3984400.6"/>
  </r>
  <r>
    <x v="0"/>
    <x v="21"/>
    <s v="691 - Promoção comercial"/>
    <x v="0"/>
    <n v="0"/>
    <n v="0"/>
    <n v="0"/>
  </r>
  <r>
    <x v="0"/>
    <x v="11"/>
    <s v="841 - Refinanciamento da dívida interna"/>
    <x v="54"/>
    <n v="420308958123.21002"/>
    <n v="420308958123.21002"/>
    <n v="0"/>
  </r>
  <r>
    <x v="0"/>
    <x v="14"/>
    <s v="131 - Comunicação social"/>
    <x v="0"/>
    <n v="0"/>
    <n v="0"/>
    <n v="0"/>
  </r>
  <r>
    <x v="0"/>
    <x v="24"/>
    <s v="032 - Controle externo"/>
    <x v="0"/>
    <n v="0"/>
    <n v="0"/>
    <n v="35400.089999999997"/>
  </r>
  <r>
    <x v="0"/>
    <x v="23"/>
    <s v="695 - Turismo"/>
    <x v="0"/>
    <n v="0"/>
    <n v="0"/>
    <n v="77754.759999999995"/>
  </r>
  <r>
    <x v="0"/>
    <x v="5"/>
    <s v="571 - Desenvolvimento científico"/>
    <x v="0"/>
    <n v="0"/>
    <n v="0"/>
    <n v="4050000"/>
  </r>
  <r>
    <x v="0"/>
    <x v="10"/>
    <s v="331 - Proteção e benefícios ao trabalhador"/>
    <x v="55"/>
    <n v="13011649.83"/>
    <n v="52070.29"/>
    <n v="0"/>
  </r>
  <r>
    <x v="0"/>
    <x v="18"/>
    <s v="131 - Comunicação social"/>
    <x v="56"/>
    <n v="0"/>
    <n v="0"/>
    <n v="1718213.74"/>
  </r>
  <r>
    <x v="0"/>
    <x v="15"/>
    <s v="061 - Ação judiciária"/>
    <x v="0"/>
    <n v="0"/>
    <n v="0"/>
    <n v="3005868.12"/>
  </r>
  <r>
    <x v="0"/>
    <x v="3"/>
    <s v="846 - Outros encargos especiais"/>
    <x v="57"/>
    <n v="14154494.300000001"/>
    <n v="14104047.83"/>
    <n v="0"/>
  </r>
  <r>
    <x v="0"/>
    <x v="20"/>
    <s v="846 - Outros encargos especiais"/>
    <x v="58"/>
    <n v="18879294.859999999"/>
    <n v="18879294.859999999"/>
    <n v="0"/>
  </r>
  <r>
    <x v="0"/>
    <x v="5"/>
    <s v="545 - Meteorologia"/>
    <x v="0"/>
    <n v="0"/>
    <n v="0"/>
    <n v="699705.24"/>
  </r>
  <r>
    <x v="0"/>
    <x v="4"/>
    <s v="301 - Atenção básica"/>
    <x v="0"/>
    <n v="0"/>
    <n v="0"/>
    <n v="2010293.84"/>
  </r>
  <r>
    <x v="0"/>
    <x v="7"/>
    <s v="121 - Planejamento e orçamento"/>
    <x v="59"/>
    <n v="0"/>
    <n v="0"/>
    <n v="1030210.69"/>
  </r>
  <r>
    <x v="0"/>
    <x v="25"/>
    <s v="512 - Saneamento básico urbano"/>
    <x v="0"/>
    <n v="0"/>
    <n v="0"/>
    <n v="28779088.66"/>
  </r>
  <r>
    <x v="0"/>
    <x v="23"/>
    <s v="331 - Proteção e benefícios ao trabalhador"/>
    <x v="60"/>
    <n v="4107750.35"/>
    <n v="53129.22"/>
    <n v="0"/>
  </r>
  <r>
    <x v="0"/>
    <x v="4"/>
    <s v="752 - Energia elétrica"/>
    <x v="61"/>
    <n v="19198.89"/>
    <n v="19038.72"/>
    <n v="2564510.2799999998"/>
  </r>
  <r>
    <x v="0"/>
    <x v="8"/>
    <s v="363 - Ensino profissional"/>
    <x v="0"/>
    <n v="0"/>
    <n v="0"/>
    <n v="925492.96"/>
  </r>
  <r>
    <x v="0"/>
    <x v="22"/>
    <s v="333 - Empregabilidade"/>
    <x v="0"/>
    <n v="0"/>
    <n v="0"/>
    <n v="212.66"/>
  </r>
  <r>
    <x v="0"/>
    <x v="6"/>
    <s v="122 - Administração geral"/>
    <x v="62"/>
    <n v="7643720.6900000004"/>
    <n v="2509143.2799999998"/>
    <n v="12656727.880000001"/>
  </r>
  <r>
    <x v="0"/>
    <x v="21"/>
    <s v="128 - Formação de recursos humanos"/>
    <x v="63"/>
    <n v="1503.31"/>
    <n v="0"/>
    <n v="168536.92"/>
  </r>
  <r>
    <x v="0"/>
    <x v="10"/>
    <s v="124 - Controle interno"/>
    <x v="64"/>
    <n v="144940.85"/>
    <n v="135671.85999999999"/>
    <n v="79178.720000000001"/>
  </r>
  <r>
    <x v="0"/>
    <x v="14"/>
    <s v="301 - Atenção básica"/>
    <x v="0"/>
    <n v="0"/>
    <n v="0"/>
    <n v="1361388.46"/>
  </r>
  <r>
    <x v="0"/>
    <x v="21"/>
    <s v="301 - Atenção básica"/>
    <x v="0"/>
    <n v="0"/>
    <n v="0"/>
    <n v="1760374.03"/>
  </r>
  <r>
    <x v="0"/>
    <x v="26"/>
    <s v="130 - Administração de concessões"/>
    <x v="65"/>
    <n v="11484.64"/>
    <n v="11484.64"/>
    <n v="0"/>
  </r>
  <r>
    <x v="0"/>
    <x v="3"/>
    <s v="662 - Produção industrial"/>
    <x v="66"/>
    <n v="11323.92"/>
    <n v="7292.26"/>
    <n v="7104742.5099999998"/>
  </r>
  <r>
    <x v="0"/>
    <x v="22"/>
    <s v="301 - Atenção básica"/>
    <x v="0"/>
    <n v="0"/>
    <n v="0"/>
    <n v="6975667.8200000003"/>
  </r>
  <r>
    <x v="0"/>
    <x v="26"/>
    <s v="126 - Tecnologia da informação"/>
    <x v="67"/>
    <n v="71059.3"/>
    <n v="31157.1"/>
    <n v="15861347.92"/>
  </r>
  <r>
    <x v="0"/>
    <x v="9"/>
    <s v="331 - Proteção e benefícios ao trabalhador"/>
    <x v="68"/>
    <n v="6625667.9400000004"/>
    <n v="422456.17"/>
    <n v="0"/>
  </r>
  <r>
    <x v="0"/>
    <x v="20"/>
    <s v="333 - Empregabilidade"/>
    <x v="0"/>
    <n v="0"/>
    <n v="0"/>
    <n v="74742.070000000007"/>
  </r>
  <r>
    <x v="0"/>
    <x v="26"/>
    <s v="846 - Outros encargos especiais"/>
    <x v="69"/>
    <n v="14640616.720000001"/>
    <n v="14637303.199999999"/>
    <n v="9907.58"/>
  </r>
  <r>
    <x v="0"/>
    <x v="11"/>
    <s v="843 - Serviço da dívida interna"/>
    <x v="70"/>
    <n v="4945581099.6400003"/>
    <n v="4945581099.6400003"/>
    <n v="1596700.76"/>
  </r>
  <r>
    <x v="0"/>
    <x v="10"/>
    <s v="301 - Atenção básica"/>
    <x v="0"/>
    <n v="0"/>
    <n v="0"/>
    <n v="19306266.969999999"/>
  </r>
  <r>
    <x v="0"/>
    <x v="4"/>
    <s v="331 - Proteção e benefícios ao trabalhador"/>
    <x v="71"/>
    <n v="1861345.54"/>
    <n v="6935.96"/>
    <n v="0"/>
  </r>
  <r>
    <x v="0"/>
    <x v="1"/>
    <s v="422 - Direitos individuais, coletivos e difusos"/>
    <x v="0"/>
    <n v="0"/>
    <n v="0"/>
    <n v="455107.12"/>
  </r>
  <r>
    <x v="0"/>
    <x v="5"/>
    <s v="609 - Defesa agropecuária"/>
    <x v="72"/>
    <n v="38614.6"/>
    <n v="38614.6"/>
    <n v="3796120.58"/>
  </r>
  <r>
    <x v="0"/>
    <x v="8"/>
    <s v="301 - Atenção básica"/>
    <x v="0"/>
    <n v="0"/>
    <n v="0"/>
    <n v="2885866.68"/>
  </r>
  <r>
    <x v="0"/>
    <x v="23"/>
    <s v="128 - Formação de recursos humanos"/>
    <x v="73"/>
    <n v="761.12"/>
    <n v="761.12"/>
    <n v="76443.789999999994"/>
  </r>
  <r>
    <x v="0"/>
    <x v="14"/>
    <s v="846 - Outros encargos especiais"/>
    <x v="74"/>
    <n v="6124845.8799999999"/>
    <n v="6124845.8799999999"/>
    <n v="4579821.42"/>
  </r>
  <r>
    <x v="0"/>
    <x v="12"/>
    <s v="123 - Administração financeira"/>
    <x v="75"/>
    <n v="7445.26"/>
    <n v="6229.17"/>
    <n v="478261.06"/>
  </r>
  <r>
    <x v="0"/>
    <x v="3"/>
    <s v="301 - Atenção básica"/>
    <x v="0"/>
    <n v="0"/>
    <n v="0"/>
    <n v="6148909.5599999996"/>
  </r>
  <r>
    <x v="0"/>
    <x v="22"/>
    <s v="846 - Outros encargos especiais"/>
    <x v="76"/>
    <n v="29152558.34"/>
    <n v="29148272.32"/>
    <n v="4531.29"/>
  </r>
  <r>
    <x v="0"/>
    <x v="21"/>
    <s v="391 - Patrimônio histórico, artístico e arqueológico"/>
    <x v="77"/>
    <n v="8146.64"/>
    <n v="885.09"/>
    <n v="3793051.53"/>
  </r>
  <r>
    <x v="0"/>
    <x v="20"/>
    <s v="368 - Educação básica"/>
    <x v="78"/>
    <n v="0"/>
    <n v="0"/>
    <n v="251102.97"/>
  </r>
  <r>
    <x v="0"/>
    <x v="7"/>
    <s v="304 - Vigilância sanitária"/>
    <x v="79"/>
    <n v="920591.69"/>
    <n v="899736.78"/>
    <n v="4081798.21"/>
  </r>
  <r>
    <x v="0"/>
    <x v="21"/>
    <s v="331 - Proteção e benefícios ao trabalhador"/>
    <x v="80"/>
    <n v="1702282.78"/>
    <n v="28733.279999999999"/>
    <n v="0"/>
  </r>
  <r>
    <x v="0"/>
    <x v="3"/>
    <s v="331 - Proteção e benefícios ao trabalhador"/>
    <x v="81"/>
    <n v="4947018.97"/>
    <n v="286393.84000000003"/>
    <n v="0"/>
  </r>
  <r>
    <x v="0"/>
    <x v="13"/>
    <s v="306 - Alimentação e nutrição"/>
    <x v="82"/>
    <n v="11964.52"/>
    <n v="11964.52"/>
    <n v="18939638.93"/>
  </r>
  <r>
    <x v="0"/>
    <x v="11"/>
    <s v="847 - Transferências para a educação básica"/>
    <x v="83"/>
    <n v="3319073882.3899999"/>
    <n v="3319073882.3899999"/>
    <n v="4896862110.4200001"/>
  </r>
  <r>
    <x v="0"/>
    <x v="0"/>
    <s v="573 - Difusão do conhecimento científico e tecnológico"/>
    <x v="84"/>
    <n v="0"/>
    <n v="0"/>
    <n v="2312600.73"/>
  </r>
  <r>
    <x v="0"/>
    <x v="19"/>
    <s v="131 - Comunicação social"/>
    <x v="0"/>
    <n v="0"/>
    <n v="0"/>
    <n v="24060"/>
  </r>
  <r>
    <x v="0"/>
    <x v="26"/>
    <s v="781 - Transporte aéreo"/>
    <x v="0"/>
    <n v="0"/>
    <n v="0"/>
    <n v="1091467.25"/>
  </r>
  <r>
    <x v="0"/>
    <x v="0"/>
    <s v="847 - Transferências para a educação básica"/>
    <x v="85"/>
    <n v="1912078728.25"/>
    <n v="1912078728.25"/>
    <n v="4875965593.9200001"/>
  </r>
  <r>
    <x v="0"/>
    <x v="8"/>
    <s v="846 - Outros encargos especiais"/>
    <x v="86"/>
    <n v="5790364.5800000001"/>
    <n v="5790364.5800000001"/>
    <n v="5526.02"/>
  </r>
  <r>
    <x v="0"/>
    <x v="7"/>
    <s v="125 - Normatização e fiscalização"/>
    <x v="87"/>
    <n v="21421.040000000001"/>
    <n v="20500.62"/>
    <n v="775123.07"/>
  </r>
  <r>
    <x v="0"/>
    <x v="19"/>
    <s v="451 - infra-estrutura urbana"/>
    <x v="0"/>
    <n v="0"/>
    <n v="0"/>
    <n v="64277924.990000002"/>
  </r>
  <r>
    <x v="0"/>
    <x v="3"/>
    <s v="691 - Promoção comercial"/>
    <x v="0"/>
    <n v="0"/>
    <n v="0"/>
    <n v="0"/>
  </r>
  <r>
    <x v="0"/>
    <x v="18"/>
    <s v="331 - Proteção e benefícios ao trabalhador"/>
    <x v="88"/>
    <n v="1927285.86"/>
    <n v="460545.05"/>
    <n v="0"/>
  </r>
  <r>
    <x v="0"/>
    <x v="0"/>
    <s v="123 - Administração financeira"/>
    <x v="89"/>
    <n v="0"/>
    <n v="0"/>
    <n v="43708738.939999998"/>
  </r>
  <r>
    <x v="0"/>
    <x v="12"/>
    <s v="092 - Representação judicial e extrajudicial"/>
    <x v="90"/>
    <n v="821025.03"/>
    <n v="10541.74"/>
    <n v="5373270.7199999997"/>
  </r>
  <r>
    <x v="0"/>
    <x v="12"/>
    <s v="125 - Normatização e fiscalização"/>
    <x v="91"/>
    <n v="2456420.81"/>
    <n v="2023558.01"/>
    <n v="13061174.539999999"/>
  </r>
  <r>
    <x v="0"/>
    <x v="2"/>
    <s v="331 - Proteção e benefícios ao trabalhador"/>
    <x v="92"/>
    <n v="41707703.850000001"/>
    <n v="41173145.159999996"/>
    <n v="0"/>
  </r>
  <r>
    <x v="0"/>
    <x v="16"/>
    <s v="331 - Proteção e benefícios ao trabalhador"/>
    <x v="93"/>
    <n v="5364721.25"/>
    <n v="2700851.24"/>
    <n v="0"/>
  </r>
  <r>
    <x v="0"/>
    <x v="7"/>
    <s v="573 - Difusão do conhecimento científico e tecnológico"/>
    <x v="94"/>
    <n v="30911.21"/>
    <n v="19250"/>
    <n v="14698604.57"/>
  </r>
  <r>
    <x v="0"/>
    <x v="19"/>
    <s v="301 - Atenção básica"/>
    <x v="0"/>
    <n v="0"/>
    <n v="0"/>
    <n v="7226266.0099999998"/>
  </r>
  <r>
    <x v="0"/>
    <x v="26"/>
    <s v="121 - Planejamento e orçamento"/>
    <x v="95"/>
    <n v="0"/>
    <n v="0"/>
    <n v="23960580.809999999"/>
  </r>
  <r>
    <x v="0"/>
    <x v="7"/>
    <s v="331 - Proteção e benefícios ao trabalhador"/>
    <x v="96"/>
    <n v="51406043.509999998"/>
    <n v="5283573"/>
    <n v="0"/>
  </r>
  <r>
    <x v="0"/>
    <x v="20"/>
    <s v="364 - Ensino superior"/>
    <x v="97"/>
    <n v="1474.39"/>
    <n v="0"/>
    <n v="176497.49"/>
  </r>
  <r>
    <x v="0"/>
    <x v="2"/>
    <s v="691 - Promoção comercial"/>
    <x v="98"/>
    <n v="52683.81"/>
    <n v="52683.81"/>
    <n v="166156.07999999999"/>
  </r>
  <r>
    <x v="0"/>
    <x v="26"/>
    <s v="125 - Normatização e fiscalização"/>
    <x v="99"/>
    <n v="1136729.21"/>
    <n v="624523.99"/>
    <n v="9652405.0500000007"/>
  </r>
  <r>
    <x v="0"/>
    <x v="20"/>
    <s v="542 - Controle ambiental"/>
    <x v="100"/>
    <n v="190266.87"/>
    <n v="117904.39"/>
    <n v="1091535.46"/>
  </r>
  <r>
    <x v="0"/>
    <x v="12"/>
    <s v="391 - Patrimônio histórico, artístico e arqueológico"/>
    <x v="101"/>
    <n v="9013.4"/>
    <n v="6422.02"/>
    <n v="1026824.35"/>
  </r>
  <r>
    <x v="0"/>
    <x v="7"/>
    <s v="512 - Saneamento básico urbano"/>
    <x v="102"/>
    <n v="4636.2"/>
    <n v="0"/>
    <n v="9132482.4100000001"/>
  </r>
  <r>
    <x v="0"/>
    <x v="2"/>
    <s v="301 - Atenção básica"/>
    <x v="0"/>
    <n v="0"/>
    <n v="0"/>
    <n v="624419.97"/>
  </r>
  <r>
    <x v="0"/>
    <x v="19"/>
    <s v="244 - Assistência comunitária"/>
    <x v="0"/>
    <n v="0"/>
    <n v="0"/>
    <n v="104533407.47"/>
  </r>
  <r>
    <x v="0"/>
    <x v="23"/>
    <s v="301 - Atenção básica"/>
    <x v="0"/>
    <n v="0"/>
    <n v="0"/>
    <n v="4075973.24"/>
  </r>
  <r>
    <x v="0"/>
    <x v="20"/>
    <s v="302 - Assistência hospitalar e ambulatorial"/>
    <x v="103"/>
    <n v="414884.39"/>
    <n v="123352"/>
    <n v="2580974.2200000002"/>
  </r>
  <r>
    <x v="0"/>
    <x v="23"/>
    <s v="125 - Normatização e fiscalização"/>
    <x v="104"/>
    <n v="7355316.8899999997"/>
    <n v="933602.82"/>
    <n v="3327627.4"/>
  </r>
  <r>
    <x v="0"/>
    <x v="7"/>
    <s v="572 - Desenvolvimento tecnológico e engenharia"/>
    <x v="105"/>
    <n v="60559.62"/>
    <n v="60559.62"/>
    <n v="2500097.2400000002"/>
  </r>
  <r>
    <x v="0"/>
    <x v="12"/>
    <s v="364 - Ensino superior"/>
    <x v="106"/>
    <n v="0"/>
    <n v="0"/>
    <n v="632590.42000000004"/>
  </r>
  <r>
    <x v="0"/>
    <x v="5"/>
    <s v="301 - Atenção básica"/>
    <x v="0"/>
    <n v="0"/>
    <n v="0"/>
    <n v="25816968.899999999"/>
  </r>
  <r>
    <x v="0"/>
    <x v="20"/>
    <s v="244 - Assistência comunitária"/>
    <x v="107"/>
    <n v="0"/>
    <n v="0"/>
    <n v="34121657.130000003"/>
  </r>
  <r>
    <x v="0"/>
    <x v="10"/>
    <s v="665 - Normalização e qualidade"/>
    <x v="0"/>
    <n v="0"/>
    <n v="0"/>
    <n v="1857521.81"/>
  </r>
  <r>
    <x v="0"/>
    <x v="3"/>
    <s v="541 - Preservação e conservação ambiental"/>
    <x v="0"/>
    <n v="0"/>
    <n v="0"/>
    <n v="28497.31"/>
  </r>
  <r>
    <x v="0"/>
    <x v="16"/>
    <s v="301 - Atenção básica"/>
    <x v="0"/>
    <n v="0"/>
    <n v="0"/>
    <n v="2774898.04"/>
  </r>
  <r>
    <x v="0"/>
    <x v="26"/>
    <s v="331 - Proteção e benefícios ao trabalhador"/>
    <x v="108"/>
    <n v="6013865.5199999996"/>
    <n v="373816.56"/>
    <n v="0"/>
  </r>
  <r>
    <x v="0"/>
    <x v="20"/>
    <s v="482 - Habitação urbana"/>
    <x v="109"/>
    <n v="8026455.8399999999"/>
    <n v="8015721.2000000002"/>
    <n v="17255320.100000001"/>
  </r>
  <r>
    <x v="0"/>
    <x v="16"/>
    <s v="126 - Tecnologia da informação"/>
    <x v="110"/>
    <n v="4427.59"/>
    <n v="800"/>
    <n v="705494.12"/>
  </r>
  <r>
    <x v="0"/>
    <x v="27"/>
    <s v="812 - Desporto comunitário"/>
    <x v="0"/>
    <n v="0"/>
    <n v="0"/>
    <n v="51310253.789999999"/>
  </r>
  <r>
    <x v="0"/>
    <x v="23"/>
    <s v="543 - Recuperação de áreas degradadas"/>
    <x v="0"/>
    <n v="0"/>
    <n v="0"/>
    <n v="167682.21"/>
  </r>
  <r>
    <x v="0"/>
    <x v="7"/>
    <s v="126 - Tecnologia da informação"/>
    <x v="111"/>
    <n v="874712.33"/>
    <n v="846624.11"/>
    <n v="18421909.100000001"/>
  </r>
  <r>
    <x v="0"/>
    <x v="1"/>
    <s v="421 - Custódia e reintegração social"/>
    <x v="112"/>
    <n v="1656042.54"/>
    <n v="1182626.01"/>
    <n v="98627357.599999994"/>
  </r>
  <r>
    <x v="0"/>
    <x v="4"/>
    <s v="572 - Desenvolvimento tecnológico e engenharia"/>
    <x v="113"/>
    <n v="3343389.56"/>
    <n v="2832423.91"/>
    <n v="2839303.06"/>
  </r>
  <r>
    <x v="0"/>
    <x v="12"/>
    <s v="128 - Formação de recursos humanos"/>
    <x v="114"/>
    <n v="0"/>
    <n v="0"/>
    <n v="608289.25"/>
  </r>
  <r>
    <x v="0"/>
    <x v="20"/>
    <s v="131 - Comunicação social"/>
    <x v="115"/>
    <n v="1744.76"/>
    <n v="1744.76"/>
    <n v="76111.53"/>
  </r>
  <r>
    <x v="0"/>
    <x v="21"/>
    <s v="392 - Difusão cultural"/>
    <x v="116"/>
    <n v="342569.48"/>
    <n v="4847.3900000000003"/>
    <n v="12379159.699999999"/>
  </r>
  <r>
    <x v="0"/>
    <x v="22"/>
    <s v="331 - Proteção e benefícios ao trabalhador"/>
    <x v="117"/>
    <n v="1949453263.48"/>
    <n v="1943136542.5899999"/>
    <n v="1928979479.76"/>
  </r>
  <r>
    <x v="0"/>
    <x v="8"/>
    <s v="631 - Reforma agrária"/>
    <x v="118"/>
    <n v="53554.54"/>
    <n v="13116.99"/>
    <n v="37533585.789999999"/>
  </r>
  <r>
    <x v="0"/>
    <x v="20"/>
    <s v="811 - Desporto de rendimento"/>
    <x v="119"/>
    <n v="20785.04"/>
    <n v="20785.04"/>
    <n v="101886.98"/>
  </r>
  <r>
    <x v="0"/>
    <x v="27"/>
    <s v="811 - Desporto de rendimento"/>
    <x v="120"/>
    <n v="153533.22"/>
    <n v="153533.22"/>
    <n v="13177959.640000001"/>
  </r>
  <r>
    <x v="0"/>
    <x v="4"/>
    <s v="121 - Planejamento e orçamento"/>
    <x v="121"/>
    <n v="5408.82"/>
    <n v="0"/>
    <n v="48199.43"/>
  </r>
  <r>
    <x v="0"/>
    <x v="3"/>
    <s v="573 - Difusão do conhecimento científico e tecnológico"/>
    <x v="122"/>
    <n v="8808.0400000000009"/>
    <n v="3118"/>
    <n v="1571643.83"/>
  </r>
  <r>
    <x v="0"/>
    <x v="0"/>
    <s v="306 - Alimentação e nutrição"/>
    <x v="0"/>
    <n v="0"/>
    <n v="0"/>
    <n v="134434.76"/>
  </r>
  <r>
    <x v="0"/>
    <x v="26"/>
    <s v="301 - Atenção básica"/>
    <x v="0"/>
    <n v="0"/>
    <n v="0"/>
    <n v="6004988.7599999998"/>
  </r>
  <r>
    <x v="0"/>
    <x v="1"/>
    <s v="301 - Atenção básica"/>
    <x v="0"/>
    <n v="0"/>
    <n v="0"/>
    <n v="31518993.120000001"/>
  </r>
  <r>
    <x v="0"/>
    <x v="26"/>
    <s v="784 - Transporte hidroviário"/>
    <x v="123"/>
    <n v="0"/>
    <n v="0"/>
    <n v="18915495.890000001"/>
  </r>
  <r>
    <x v="0"/>
    <x v="7"/>
    <s v="303 - Suporte profilático e terapêutico"/>
    <x v="124"/>
    <n v="359931164.00999999"/>
    <n v="265805078.27000001"/>
    <n v="645573646.36000001"/>
  </r>
  <r>
    <x v="0"/>
    <x v="20"/>
    <s v="212 - Cooperação internacional"/>
    <x v="125"/>
    <n v="71335.820000000007"/>
    <n v="71335.820000000007"/>
    <n v="352471.14"/>
  </r>
  <r>
    <x v="0"/>
    <x v="26"/>
    <s v="783 - Transporte ferroviário"/>
    <x v="126"/>
    <n v="63.84"/>
    <n v="0"/>
    <n v="3123892.51"/>
  </r>
  <r>
    <x v="0"/>
    <x v="3"/>
    <s v="125 - Normatização e fiscalização"/>
    <x v="127"/>
    <n v="2325.2600000000002"/>
    <n v="2325.2600000000002"/>
    <n v="370887.15"/>
  </r>
  <r>
    <x v="0"/>
    <x v="13"/>
    <s v="241 - Assistência ao idoso"/>
    <x v="128"/>
    <n v="3124118406"/>
    <n v="1533112211.8499999"/>
    <n v="1520802751.9200001"/>
  </r>
  <r>
    <x v="0"/>
    <x v="16"/>
    <s v="125 - Normatização e fiscalização"/>
    <x v="129"/>
    <n v="71322.44"/>
    <n v="70352.570000000007"/>
    <n v="3426244.55"/>
  </r>
  <r>
    <x v="0"/>
    <x v="16"/>
    <s v="182 - Defesa civil"/>
    <x v="130"/>
    <n v="90160.48"/>
    <n v="53645.93"/>
    <n v="0"/>
  </r>
  <r>
    <x v="0"/>
    <x v="26"/>
    <s v="122 - Administração geral"/>
    <x v="131"/>
    <n v="102120438.41"/>
    <n v="17767702.780000001"/>
    <n v="148972662.40000001"/>
  </r>
  <r>
    <x v="0"/>
    <x v="12"/>
    <s v="127 - Ordenamento territorial"/>
    <x v="132"/>
    <n v="546640.41"/>
    <n v="462513.54"/>
    <n v="2655083.94"/>
  </r>
  <r>
    <x v="0"/>
    <x v="13"/>
    <s v="244 - Assistência comunitária"/>
    <x v="133"/>
    <n v="13252580000"/>
    <n v="13252580000"/>
    <n v="65150679.810000002"/>
  </r>
  <r>
    <x v="0"/>
    <x v="22"/>
    <s v="125 - Normatização e fiscalização"/>
    <x v="134"/>
    <n v="723389.61"/>
    <n v="693925.63"/>
    <n v="1207508.81"/>
  </r>
  <r>
    <x v="0"/>
    <x v="12"/>
    <s v="331 - Proteção e benefícios ao trabalhador"/>
    <x v="135"/>
    <n v="70328552.140000001"/>
    <n v="3750420.63"/>
    <n v="0"/>
  </r>
  <r>
    <x v="0"/>
    <x v="20"/>
    <s v="363 - Ensino profissional"/>
    <x v="0"/>
    <n v="0"/>
    <n v="0"/>
    <n v="1462539.49"/>
  </r>
  <r>
    <x v="0"/>
    <x v="5"/>
    <s v="605 - Abastecimento"/>
    <x v="136"/>
    <n v="7516286.4699999997"/>
    <n v="1423443.41"/>
    <n v="924132909.82000005"/>
  </r>
  <r>
    <x v="0"/>
    <x v="14"/>
    <s v="125 - Normatização e fiscalização"/>
    <x v="137"/>
    <n v="285052.28000000003"/>
    <n v="236558.91"/>
    <n v="2263014.75"/>
  </r>
  <r>
    <x v="0"/>
    <x v="4"/>
    <s v="128 - Formação de recursos humanos"/>
    <x v="138"/>
    <n v="46595.14"/>
    <n v="4261.3599999999997"/>
    <n v="86516.67"/>
  </r>
  <r>
    <x v="0"/>
    <x v="13"/>
    <s v="242 - Assistência ao portador de deficiência"/>
    <x v="139"/>
    <n v="3838161284.3600001"/>
    <n v="1889760912.8299999"/>
    <n v="1845422565.9300001"/>
  </r>
  <r>
    <x v="0"/>
    <x v="20"/>
    <s v="571 - Desenvolvimento científico"/>
    <x v="0"/>
    <n v="0"/>
    <n v="0"/>
    <n v="67574.91"/>
  </r>
  <r>
    <x v="0"/>
    <x v="1"/>
    <s v="331 - Proteção e benefícios ao trabalhador"/>
    <x v="140"/>
    <n v="29066255"/>
    <n v="3475720.65"/>
    <n v="0"/>
  </r>
  <r>
    <x v="0"/>
    <x v="6"/>
    <s v="695 - Turismo"/>
    <x v="0"/>
    <n v="0"/>
    <n v="0"/>
    <n v="91741918.230000004"/>
  </r>
  <r>
    <x v="0"/>
    <x v="26"/>
    <s v="782 - Transporte rodoviário"/>
    <x v="141"/>
    <n v="0"/>
    <n v="0"/>
    <n v="511825149.82999998"/>
  </r>
  <r>
    <x v="0"/>
    <x v="18"/>
    <s v="122 - Administração geral"/>
    <x v="142"/>
    <n v="63966468.270000003"/>
    <n v="8681787.4000000004"/>
    <n v="64662672.530000001"/>
  </r>
  <r>
    <x v="0"/>
    <x v="12"/>
    <s v="846 - Outros encargos especiais"/>
    <x v="143"/>
    <n v="143845287.15000001"/>
    <n v="124483939.68000001"/>
    <n v="9656568.8000000007"/>
  </r>
  <r>
    <x v="0"/>
    <x v="7"/>
    <s v="305 - Vigilância epidemiológica"/>
    <x v="144"/>
    <n v="180596410.65000001"/>
    <n v="180172442.09999999"/>
    <n v="2239346914.79"/>
  </r>
  <r>
    <x v="0"/>
    <x v="7"/>
    <s v="541 - Preservação e conservação ambiental"/>
    <x v="0"/>
    <n v="0"/>
    <n v="0"/>
    <n v="1683623.99"/>
  </r>
  <r>
    <x v="0"/>
    <x v="10"/>
    <s v="092 - Representação judicial e extrajudicial"/>
    <x v="145"/>
    <n v="1651576"/>
    <n v="1444510.5"/>
    <n v="454200.05"/>
  </r>
  <r>
    <x v="0"/>
    <x v="21"/>
    <s v="846 - Outros encargos especiais"/>
    <x v="146"/>
    <n v="3376182.66"/>
    <n v="3376182.66"/>
    <n v="0"/>
  </r>
  <r>
    <x v="0"/>
    <x v="0"/>
    <s v="846 - Outros encargos especiais"/>
    <x v="147"/>
    <n v="604975652.63"/>
    <n v="601500810.21000004"/>
    <n v="6163950.9800000004"/>
  </r>
  <r>
    <x v="0"/>
    <x v="20"/>
    <s v="151 - Defesa aérea"/>
    <x v="148"/>
    <n v="7609493.1900000004"/>
    <n v="5966484.9199999999"/>
    <n v="200907735.72999999"/>
  </r>
  <r>
    <x v="0"/>
    <x v="14"/>
    <s v="423 - Assistência aos povos indígenas"/>
    <x v="149"/>
    <n v="44076.49"/>
    <n v="37442.07"/>
    <n v="2088026.27"/>
  </r>
  <r>
    <x v="0"/>
    <x v="19"/>
    <s v="453 - Transportes coletivos urbanos"/>
    <x v="150"/>
    <n v="3078975.29"/>
    <n v="341259.1"/>
    <n v="7193491.5899999999"/>
  </r>
  <r>
    <x v="0"/>
    <x v="12"/>
    <s v="183 - Informação e inteligência"/>
    <x v="151"/>
    <n v="1504052.5"/>
    <n v="1238374.56"/>
    <n v="3464885.05"/>
  </r>
  <r>
    <x v="0"/>
    <x v="20"/>
    <s v="152 - Defesa naval"/>
    <x v="152"/>
    <n v="52950250.469999999"/>
    <n v="1256406.6100000001"/>
    <n v="133210150.87"/>
  </r>
  <r>
    <x v="0"/>
    <x v="0"/>
    <s v="301 - Atenção básica"/>
    <x v="0"/>
    <n v="0"/>
    <n v="0"/>
    <n v="218716161.06"/>
  </r>
  <r>
    <x v="0"/>
    <x v="7"/>
    <s v="128 - Formação de recursos humanos"/>
    <x v="153"/>
    <n v="18626719.66"/>
    <n v="6293659.6299999999"/>
    <n v="38282939.68"/>
  </r>
  <r>
    <x v="0"/>
    <x v="7"/>
    <s v="511 - Saneamento básico rural"/>
    <x v="154"/>
    <n v="651871.49"/>
    <n v="161990.24"/>
    <n v="7822755.46"/>
  </r>
  <r>
    <x v="0"/>
    <x v="19"/>
    <s v="122 - Administração geral"/>
    <x v="155"/>
    <n v="46103611.689999998"/>
    <n v="8828985"/>
    <n v="46571256.810000002"/>
  </r>
  <r>
    <x v="0"/>
    <x v="3"/>
    <s v="571 - Desenvolvimento científico"/>
    <x v="156"/>
    <n v="4914307.0999999996"/>
    <n v="4889730.4400000004"/>
    <n v="21367052.120000001"/>
  </r>
  <r>
    <x v="0"/>
    <x v="16"/>
    <s v="544 - Recursos hídricos"/>
    <x v="157"/>
    <n v="81727.490000000005"/>
    <n v="57479.08"/>
    <n v="395938.72"/>
  </r>
  <r>
    <x v="0"/>
    <x v="14"/>
    <s v="122 - Administração geral"/>
    <x v="158"/>
    <n v="17897895.989999998"/>
    <n v="2561829.4300000002"/>
    <n v="30081239.43"/>
  </r>
  <r>
    <x v="0"/>
    <x v="0"/>
    <s v="367 - Educação especial"/>
    <x v="159"/>
    <n v="19429.21"/>
    <n v="9004.82"/>
    <n v="2098779.16"/>
  </r>
  <r>
    <x v="0"/>
    <x v="20"/>
    <s v="126 - Tecnologia da informação"/>
    <x v="160"/>
    <n v="0"/>
    <n v="0"/>
    <n v="790716.35"/>
  </r>
  <r>
    <x v="0"/>
    <x v="16"/>
    <s v="127 - Ordenamento territorial"/>
    <x v="161"/>
    <n v="5818.08"/>
    <n v="5392.46"/>
    <n v="439132.51"/>
  </r>
  <r>
    <x v="0"/>
    <x v="12"/>
    <s v="126 - Tecnologia da informação"/>
    <x v="162"/>
    <n v="37834.47"/>
    <n v="37834.47"/>
    <n v="28451730.949999999"/>
  </r>
  <r>
    <x v="0"/>
    <x v="11"/>
    <s v="845 - Outras transferências"/>
    <x v="163"/>
    <n v="14745675337.209999"/>
    <n v="14281151239.360001"/>
    <n v="14250632740.08"/>
  </r>
  <r>
    <x v="0"/>
    <x v="10"/>
    <s v="122 - Administração geral"/>
    <x v="164"/>
    <n v="215336273.31"/>
    <n v="52530700.200000003"/>
    <n v="264578467.22"/>
  </r>
  <r>
    <x v="0"/>
    <x v="5"/>
    <s v="608 - Promoção da produção agropecuária"/>
    <x v="165"/>
    <n v="16676737.24"/>
    <n v="16647830.16"/>
    <n v="1218297768.1800001"/>
  </r>
  <r>
    <x v="0"/>
    <x v="2"/>
    <s v="392 - Difusão cultural"/>
    <x v="166"/>
    <n v="2638131.9700000002"/>
    <n v="2546112.29"/>
    <n v="1210008.83"/>
  </r>
  <r>
    <x v="0"/>
    <x v="9"/>
    <s v="092 - Representação judicial e extrajudicial"/>
    <x v="167"/>
    <n v="3639605.13"/>
    <n v="1768148.81"/>
    <n v="13627872.720000001"/>
  </r>
  <r>
    <x v="0"/>
    <x v="14"/>
    <s v="422 - Direitos individuais, coletivos e difusos"/>
    <x v="168"/>
    <n v="490705.18"/>
    <n v="108288.76"/>
    <n v="8669720.4100000001"/>
  </r>
  <r>
    <x v="0"/>
    <x v="21"/>
    <s v="122 - Administração geral"/>
    <x v="169"/>
    <n v="22685814.890000001"/>
    <n v="5996010.7400000002"/>
    <n v="29601434.359999999"/>
  </r>
  <r>
    <x v="0"/>
    <x v="18"/>
    <s v="722 - Telecomunicações"/>
    <x v="170"/>
    <n v="3510859.21"/>
    <n v="2829292.46"/>
    <n v="30011591.960000001"/>
  </r>
  <r>
    <x v="0"/>
    <x v="23"/>
    <s v="541 - Preservação e conservação ambiental"/>
    <x v="171"/>
    <n v="39457.199999999997"/>
    <n v="30926.25"/>
    <n v="17734910.859999999"/>
  </r>
  <r>
    <x v="0"/>
    <x v="12"/>
    <s v="301 - Atenção básica"/>
    <x v="0"/>
    <n v="0"/>
    <n v="0"/>
    <n v="72104675.219999999"/>
  </r>
  <r>
    <x v="0"/>
    <x v="8"/>
    <s v="122 - Administração geral"/>
    <x v="172"/>
    <n v="29296609.850000001"/>
    <n v="6849867.9000000004"/>
    <n v="33955144.649999999"/>
  </r>
  <r>
    <x v="0"/>
    <x v="23"/>
    <s v="122 - Administração geral"/>
    <x v="173"/>
    <n v="73180628.030000001"/>
    <n v="26597610.809999999"/>
    <n v="72525261.170000002"/>
  </r>
  <r>
    <x v="0"/>
    <x v="0"/>
    <s v="331 - Proteção e benefícios ao trabalhador"/>
    <x v="174"/>
    <n v="233140475.61000001"/>
    <n v="26092740.289999999"/>
    <n v="0"/>
  </r>
  <r>
    <x v="0"/>
    <x v="16"/>
    <s v="122 - Administração geral"/>
    <x v="175"/>
    <n v="70382525.459999993"/>
    <n v="13497153.4"/>
    <n v="89965254.760000005"/>
  </r>
  <r>
    <x v="0"/>
    <x v="7"/>
    <s v="423 - Assistência aos povos indígenas"/>
    <x v="176"/>
    <n v="161354132.36000001"/>
    <n v="124308861.88"/>
    <n v="50496880.75"/>
  </r>
  <r>
    <x v="0"/>
    <x v="4"/>
    <s v="125 - Normatização e fiscalização"/>
    <x v="177"/>
    <n v="316467.63"/>
    <n v="307688.36"/>
    <n v="5600001.1100000003"/>
  </r>
  <r>
    <x v="0"/>
    <x v="23"/>
    <s v="542 - Controle ambiental"/>
    <x v="178"/>
    <n v="1507833.07"/>
    <n v="417751.56"/>
    <n v="5337249.38"/>
  </r>
  <r>
    <x v="0"/>
    <x v="3"/>
    <s v="572 - Desenvolvimento tecnológico e engenharia"/>
    <x v="179"/>
    <n v="128890595.3"/>
    <n v="87814070.150000006"/>
    <n v="57339502.649999999"/>
  </r>
  <r>
    <x v="0"/>
    <x v="20"/>
    <s v="125 - Normatização e fiscalização"/>
    <x v="180"/>
    <n v="476574.38"/>
    <n v="393905.34"/>
    <n v="9171138.9700000007"/>
  </r>
  <r>
    <x v="0"/>
    <x v="5"/>
    <s v="573 - Difusão do conhecimento científico e tecnológico"/>
    <x v="0"/>
    <n v="0"/>
    <n v="0"/>
    <n v="600982.36"/>
  </r>
  <r>
    <x v="0"/>
    <x v="0"/>
    <s v="122 - Administração geral"/>
    <x v="181"/>
    <n v="46429707.539999999"/>
    <n v="14533171.59"/>
    <n v="93660719.760000005"/>
  </r>
  <r>
    <x v="0"/>
    <x v="4"/>
    <s v="122 - Administração geral"/>
    <x v="182"/>
    <n v="41995253.450000003"/>
    <n v="9502526.6699999999"/>
    <n v="47557438.189999998"/>
  </r>
  <r>
    <x v="0"/>
    <x v="2"/>
    <s v="573 - Difusão do conhecimento científico e tecnológico"/>
    <x v="183"/>
    <n v="16634.91"/>
    <n v="7765.08"/>
    <n v="91998.58"/>
  </r>
  <r>
    <x v="0"/>
    <x v="13"/>
    <s v="125 - Normatização e fiscalização"/>
    <x v="184"/>
    <n v="6387.15"/>
    <n v="4994.24"/>
    <n v="217090.96"/>
  </r>
  <r>
    <x v="0"/>
    <x v="5"/>
    <s v="331 - Proteção e benefícios ao trabalhador"/>
    <x v="185"/>
    <n v="16724258.32"/>
    <n v="6080182.7800000003"/>
    <n v="0"/>
  </r>
  <r>
    <x v="0"/>
    <x v="10"/>
    <s v="271 - Previdência básica"/>
    <x v="186"/>
    <n v="63600672941.709999"/>
    <n v="13757237894.700001"/>
    <n v="47958906183.769997"/>
  </r>
  <r>
    <x v="0"/>
    <x v="10"/>
    <s v="272 - Previdência do regime estatutário"/>
    <x v="187"/>
    <n v="7590015465.5200005"/>
    <n v="770494044.44000006"/>
    <n v="6785231387.4700003"/>
  </r>
  <r>
    <x v="0"/>
    <x v="18"/>
    <s v="125 - Normatização e fiscalização"/>
    <x v="188"/>
    <n v="51564.78"/>
    <n v="47009.3"/>
    <n v="1379457.73"/>
  </r>
  <r>
    <x v="0"/>
    <x v="20"/>
    <s v="183 - Informação e inteligência"/>
    <x v="189"/>
    <n v="178104.36"/>
    <n v="178104.36"/>
    <n v="260892.3"/>
  </r>
  <r>
    <x v="0"/>
    <x v="5"/>
    <s v="607 - Irrigação"/>
    <x v="190"/>
    <n v="19262429.809999999"/>
    <n v="1278867.69"/>
    <n v="7319673.3200000003"/>
  </r>
  <r>
    <x v="0"/>
    <x v="11"/>
    <s v="846 - Outros encargos especiais"/>
    <x v="191"/>
    <n v="1183984470.3800001"/>
    <n v="953787725.04999995"/>
    <n v="1551936682.6600001"/>
  </r>
  <r>
    <x v="0"/>
    <x v="0"/>
    <s v="128 - Formação de recursos humanos"/>
    <x v="192"/>
    <n v="175032.2"/>
    <n v="10674.2"/>
    <n v="3074570.37"/>
  </r>
  <r>
    <x v="0"/>
    <x v="20"/>
    <s v="572 - Desenvolvimento tecnológico e engenharia"/>
    <x v="193"/>
    <n v="50518.13"/>
    <n v="2353.35"/>
    <n v="4528164.82"/>
  </r>
  <r>
    <x v="0"/>
    <x v="5"/>
    <s v="691 - Promoção comercial"/>
    <x v="194"/>
    <n v="777686.57"/>
    <n v="363504.81"/>
    <n v="373440.29"/>
  </r>
  <r>
    <x v="0"/>
    <x v="20"/>
    <s v="301 - Atenção básica"/>
    <x v="0"/>
    <n v="0"/>
    <n v="0"/>
    <n v="304072966.94999999"/>
  </r>
  <r>
    <x v="0"/>
    <x v="16"/>
    <s v="663 - Mineração"/>
    <x v="195"/>
    <n v="138783.26999999999"/>
    <n v="123880.15"/>
    <n v="1474901.92"/>
  </r>
  <r>
    <x v="0"/>
    <x v="5"/>
    <s v="125 - Normatização e fiscalização"/>
    <x v="196"/>
    <n v="491888.88"/>
    <n v="373556.16"/>
    <n v="8913530.5"/>
  </r>
  <r>
    <x v="0"/>
    <x v="20"/>
    <s v="128 - Formação de recursos humanos"/>
    <x v="197"/>
    <n v="130684.9"/>
    <n v="72672.17"/>
    <n v="3607976.7"/>
  </r>
  <r>
    <x v="0"/>
    <x v="5"/>
    <s v="572 - Desenvolvimento tecnológico e engenharia"/>
    <x v="198"/>
    <n v="1868488.81"/>
    <n v="573233.68000000005"/>
    <n v="10087800.59"/>
  </r>
  <r>
    <x v="0"/>
    <x v="1"/>
    <s v="122 - Administração geral"/>
    <x v="199"/>
    <n v="555780264.98000002"/>
    <n v="153927769.5"/>
    <n v="557996481.38"/>
  </r>
  <r>
    <x v="0"/>
    <x v="22"/>
    <s v="122 - Administração geral"/>
    <x v="200"/>
    <n v="176395502.66"/>
    <n v="50148947.289999999"/>
    <n v="168584068.40000001"/>
  </r>
  <r>
    <x v="0"/>
    <x v="12"/>
    <s v="121 - Planejamento e orçamento"/>
    <x v="201"/>
    <n v="33270370.75"/>
    <n v="5544418.3300000001"/>
    <n v="185926527.34"/>
  </r>
  <r>
    <x v="0"/>
    <x v="7"/>
    <s v="571 - Desenvolvimento científico"/>
    <x v="202"/>
    <n v="1776687.92"/>
    <n v="595275.93000000005"/>
    <n v="39156194.68"/>
  </r>
  <r>
    <x v="0"/>
    <x v="1"/>
    <s v="182 - Defesa civil"/>
    <x v="203"/>
    <n v="23074633.48"/>
    <n v="19522606.530000001"/>
    <n v="22571070.719999999"/>
  </r>
  <r>
    <x v="0"/>
    <x v="0"/>
    <s v="302 - Assistência hospitalar e ambulatorial"/>
    <x v="204"/>
    <n v="735078216.58000004"/>
    <n v="131739401.45999999"/>
    <n v="1282367041.26"/>
  </r>
  <r>
    <x v="0"/>
    <x v="7"/>
    <s v="302 - Assistência hospitalar e ambulatorial"/>
    <x v="205"/>
    <n v="3847313590.5900002"/>
    <n v="3805638556.6500001"/>
    <n v="833265016.88"/>
  </r>
  <r>
    <x v="0"/>
    <x v="23"/>
    <s v="544 - Recursos hídricos"/>
    <x v="206"/>
    <n v="1290633.8"/>
    <n v="1259687.78"/>
    <n v="79198123.980000004"/>
  </r>
  <r>
    <x v="0"/>
    <x v="1"/>
    <s v="181 - Policiamento"/>
    <x v="207"/>
    <n v="30875883.129999999"/>
    <n v="27909409.920000002"/>
    <n v="57154854.909999996"/>
  </r>
  <r>
    <x v="0"/>
    <x v="20"/>
    <s v="153 - Defesa terrestre"/>
    <x v="208"/>
    <n v="652959.30000000005"/>
    <n v="504358.3"/>
    <n v="100790944.08"/>
  </r>
  <r>
    <x v="0"/>
    <x v="7"/>
    <s v="301 - Atenção básica"/>
    <x v="209"/>
    <n v="2111089798.6500001"/>
    <n v="2013067566.03"/>
    <n v="64568510.57"/>
  </r>
  <r>
    <x v="0"/>
    <x v="2"/>
    <s v="211 - Relações diplomáticas"/>
    <x v="210"/>
    <n v="43313994.149999999"/>
    <n v="41238512.109999999"/>
    <n v="25943513.73"/>
  </r>
  <r>
    <x v="0"/>
    <x v="5"/>
    <s v="122 - Administração geral"/>
    <x v="211"/>
    <n v="401780484.81"/>
    <n v="65358795.920000002"/>
    <n v="359020508.69"/>
  </r>
  <r>
    <x v="0"/>
    <x v="3"/>
    <s v="122 - Administração geral"/>
    <x v="212"/>
    <n v="94452065.870000005"/>
    <n v="16641537.16"/>
    <n v="120139473.79000001"/>
  </r>
  <r>
    <x v="0"/>
    <x v="0"/>
    <s v="363 - Ensino profissional"/>
    <x v="213"/>
    <n v="873362829.98000002"/>
    <n v="230698032.5"/>
    <n v="1147747848.0899999"/>
  </r>
  <r>
    <x v="0"/>
    <x v="0"/>
    <s v="368 - Educação básica"/>
    <x v="214"/>
    <n v="29883841.66"/>
    <n v="11427835.210000001"/>
    <n v="331995032.33999997"/>
  </r>
  <r>
    <x v="0"/>
    <x v="12"/>
    <s v="122 - Administração geral"/>
    <x v="215"/>
    <n v="1391798179.23"/>
    <n v="359947501.13999999"/>
    <n v="1460910307.3399999"/>
  </r>
  <r>
    <x v="0"/>
    <x v="12"/>
    <s v="124 - Controle interno"/>
    <x v="216"/>
    <n v="335326.84999999998"/>
    <n v="189129.51"/>
    <n v="5077755.59"/>
  </r>
  <r>
    <x v="0"/>
    <x v="20"/>
    <s v="331 - Proteção e benefícios ao trabalhador"/>
    <x v="217"/>
    <n v="271283152.24000001"/>
    <n v="55052049.049999997"/>
    <n v="79434912.219999999"/>
  </r>
  <r>
    <x v="0"/>
    <x v="2"/>
    <s v="122 - Administração geral"/>
    <x v="218"/>
    <n v="126313991.56999999"/>
    <n v="114252545.52"/>
    <n v="37524595.280000001"/>
  </r>
  <r>
    <x v="0"/>
    <x v="7"/>
    <s v="122 - Administração geral"/>
    <x v="219"/>
    <n v="552229165.48000002"/>
    <n v="209605422.56"/>
    <n v="473444663.88999999"/>
  </r>
  <r>
    <x v="0"/>
    <x v="0"/>
    <s v="364 - Ensino superior"/>
    <x v="220"/>
    <n v="2213746741.6700001"/>
    <n v="571778825.38"/>
    <n v="2484292718.29"/>
  </r>
  <r>
    <x v="0"/>
    <x v="20"/>
    <s v="122 - Administração geral"/>
    <x v="221"/>
    <n v="5075264319.9200001"/>
    <n v="1410122481.73"/>
    <n v="3341387302.29"/>
  </r>
  <r>
    <x v="1"/>
    <x v="9"/>
    <s v="032 - Controle externo"/>
    <x v="0"/>
    <n v="0"/>
    <n v="0"/>
    <n v="13100"/>
  </r>
  <r>
    <x v="1"/>
    <x v="13"/>
    <s v="511 - Saneamento básico rural"/>
    <x v="0"/>
    <n v="0"/>
    <n v="0"/>
    <n v="1677"/>
  </r>
  <r>
    <x v="1"/>
    <x v="1"/>
    <s v="482 - Habitação urbana"/>
    <x v="222"/>
    <n v="52600"/>
    <n v="52600"/>
    <n v="145700"/>
  </r>
  <r>
    <x v="1"/>
    <x v="23"/>
    <s v="301 - Atenção básica"/>
    <x v="0"/>
    <n v="0"/>
    <n v="0"/>
    <n v="4349.82"/>
  </r>
  <r>
    <x v="1"/>
    <x v="8"/>
    <s v="846 - Outros encargos especiais"/>
    <x v="223"/>
    <n v="5618557.4800000004"/>
    <n v="5618557.4800000004"/>
    <n v="4928.04"/>
  </r>
  <r>
    <x v="1"/>
    <x v="4"/>
    <s v="211 - Relações diplomáticas"/>
    <x v="224"/>
    <n v="34454.75"/>
    <n v="34454.75"/>
    <n v="0"/>
  </r>
  <r>
    <x v="1"/>
    <x v="6"/>
    <s v="691 - Promoção comercial"/>
    <x v="0"/>
    <n v="0"/>
    <n v="0"/>
    <n v="321.11"/>
  </r>
  <r>
    <x v="1"/>
    <x v="6"/>
    <s v="846 - Outros encargos especiais"/>
    <x v="0"/>
    <n v="1016.07"/>
    <n v="1016.07"/>
    <n v="0"/>
  </r>
  <r>
    <x v="1"/>
    <x v="7"/>
    <s v="422 - Direitos individuais, coletivos e difusos"/>
    <x v="225"/>
    <n v="76241.149999999994"/>
    <n v="75986.12"/>
    <n v="702453.59"/>
  </r>
  <r>
    <x v="1"/>
    <x v="4"/>
    <s v="846 - Outros encargos especiais"/>
    <x v="0"/>
    <n v="4057173.2"/>
    <n v="4061889.14"/>
    <n v="0"/>
  </r>
  <r>
    <x v="1"/>
    <x v="7"/>
    <s v="306 - Alimentação e nutrição"/>
    <x v="226"/>
    <n v="156138.78"/>
    <n v="156138.78"/>
    <n v="2287293"/>
  </r>
  <r>
    <x v="1"/>
    <x v="9"/>
    <s v="846 - Outros encargos especiais"/>
    <x v="0"/>
    <n v="24720822.82"/>
    <n v="24720822.82"/>
    <n v="0"/>
  </r>
  <r>
    <x v="1"/>
    <x v="10"/>
    <s v="845 - Outras transferências"/>
    <x v="227"/>
    <n v="128382621.90000001"/>
    <n v="126448613.69"/>
    <n v="908551.93"/>
  </r>
  <r>
    <x v="1"/>
    <x v="22"/>
    <s v="334 - Fomento ao trabalho"/>
    <x v="228"/>
    <n v="1861982510.1900001"/>
    <n v="1861982510.1900001"/>
    <n v="31148.93"/>
  </r>
  <r>
    <x v="1"/>
    <x v="21"/>
    <s v="301 - Atenção básica"/>
    <x v="0"/>
    <n v="0"/>
    <n v="0"/>
    <n v="8374.35"/>
  </r>
  <r>
    <x v="1"/>
    <x v="2"/>
    <s v="846 - Outros encargos especiais"/>
    <x v="229"/>
    <n v="11630272.99"/>
    <n v="11630272.99"/>
    <n v="0"/>
  </r>
  <r>
    <x v="1"/>
    <x v="5"/>
    <s v="541 - Preservação e conservação ambiental"/>
    <x v="0"/>
    <n v="17569.080000000002"/>
    <n v="17569.080000000002"/>
    <n v="141.32"/>
  </r>
  <r>
    <x v="1"/>
    <x v="18"/>
    <s v="572 - Desenvolvimento tecnológico e engenharia"/>
    <x v="0"/>
    <n v="0"/>
    <n v="0"/>
    <n v="3216727.02"/>
  </r>
  <r>
    <x v="1"/>
    <x v="4"/>
    <s v="130 - Administração de concessões"/>
    <x v="230"/>
    <n v="602.73"/>
    <n v="602.73"/>
    <n v="30844.28"/>
  </r>
  <r>
    <x v="1"/>
    <x v="2"/>
    <s v="301 - Atenção básica"/>
    <x v="0"/>
    <n v="0"/>
    <n v="0"/>
    <n v="15536.63"/>
  </r>
  <r>
    <x v="1"/>
    <x v="12"/>
    <s v="571 - Desenvolvimento científico"/>
    <x v="231"/>
    <n v="277704.78999999998"/>
    <n v="277704.78999999998"/>
    <n v="967072.9"/>
  </r>
  <r>
    <x v="1"/>
    <x v="14"/>
    <s v="241 - Assistência ao idoso"/>
    <x v="0"/>
    <n v="0"/>
    <n v="0"/>
    <n v="26990"/>
  </r>
  <r>
    <x v="1"/>
    <x v="13"/>
    <s v="126 - Tecnologia da informação"/>
    <x v="0"/>
    <n v="0"/>
    <n v="0"/>
    <n v="17093208.93"/>
  </r>
  <r>
    <x v="1"/>
    <x v="6"/>
    <s v="572 - Desenvolvimento tecnológico e engenharia"/>
    <x v="0"/>
    <n v="0"/>
    <n v="0"/>
    <n v="115316.75"/>
  </r>
  <r>
    <x v="1"/>
    <x v="4"/>
    <s v="753 - Combustíveis"/>
    <x v="232"/>
    <n v="562865.30000000005"/>
    <n v="72776.31"/>
    <n v="136250"/>
  </r>
  <r>
    <x v="1"/>
    <x v="10"/>
    <s v="125 - Normatização e fiscalização"/>
    <x v="233"/>
    <n v="303472.12"/>
    <n v="20933.490000000002"/>
    <n v="0"/>
  </r>
  <r>
    <x v="1"/>
    <x v="5"/>
    <s v="846 - Outros encargos especiais"/>
    <x v="9"/>
    <n v="14424013"/>
    <n v="14424013"/>
    <n v="0"/>
  </r>
  <r>
    <x v="1"/>
    <x v="4"/>
    <s v="754 - Biocombustíveis"/>
    <x v="0"/>
    <n v="0"/>
    <n v="0"/>
    <n v="55289.85"/>
  </r>
  <r>
    <x v="1"/>
    <x v="7"/>
    <s v="846 - Outros encargos especiais"/>
    <x v="2"/>
    <n v="76110646.819999993"/>
    <n v="76110646.819999993"/>
    <n v="0"/>
  </r>
  <r>
    <x v="1"/>
    <x v="2"/>
    <s v="128 - Formação de recursos humanos"/>
    <x v="0"/>
    <n v="0"/>
    <n v="23535.599999999999"/>
    <n v="374888.38"/>
  </r>
  <r>
    <x v="1"/>
    <x v="22"/>
    <s v="128 - Formação de recursos humanos"/>
    <x v="0"/>
    <n v="0"/>
    <n v="0"/>
    <n v="105639.51"/>
  </r>
  <r>
    <x v="1"/>
    <x v="3"/>
    <s v="131 - Comunicação social"/>
    <x v="234"/>
    <n v="0"/>
    <n v="0"/>
    <n v="0"/>
  </r>
  <r>
    <x v="1"/>
    <x v="19"/>
    <s v="127 - Ordenamento territorial"/>
    <x v="0"/>
    <n v="0"/>
    <n v="0"/>
    <n v="0"/>
  </r>
  <r>
    <x v="1"/>
    <x v="6"/>
    <s v="125 - Normatização e fiscalização"/>
    <x v="0"/>
    <n v="0"/>
    <n v="0"/>
    <n v="0"/>
  </r>
  <r>
    <x v="1"/>
    <x v="19"/>
    <s v="128 - Formação de recursos humanos"/>
    <x v="235"/>
    <n v="0"/>
    <n v="0"/>
    <n v="80219.839999999997"/>
  </r>
  <r>
    <x v="1"/>
    <x v="18"/>
    <s v="846 - Outros encargos especiais"/>
    <x v="236"/>
    <n v="3948124.18"/>
    <n v="143695.07999999999"/>
    <n v="0"/>
  </r>
  <r>
    <x v="1"/>
    <x v="7"/>
    <s v="131 - Comunicação social"/>
    <x v="0"/>
    <n v="0"/>
    <n v="0"/>
    <n v="15837890.449999999"/>
  </r>
  <r>
    <x v="1"/>
    <x v="3"/>
    <s v="541 - Preservação e conservação ambiental"/>
    <x v="237"/>
    <n v="38498.68"/>
    <n v="38498.68"/>
    <n v="46188.41"/>
  </r>
  <r>
    <x v="1"/>
    <x v="0"/>
    <s v="365 - Educação infantil"/>
    <x v="0"/>
    <n v="0"/>
    <n v="0"/>
    <n v="115764065.78"/>
  </r>
  <r>
    <x v="1"/>
    <x v="7"/>
    <s v="124 - Controle interno"/>
    <x v="1"/>
    <n v="0"/>
    <n v="0"/>
    <n v="0"/>
  </r>
  <r>
    <x v="1"/>
    <x v="11"/>
    <s v="844 - Serviço da dívida externa"/>
    <x v="238"/>
    <n v="1574831486.52"/>
    <n v="1574831486.52"/>
    <n v="0"/>
  </r>
  <r>
    <x v="1"/>
    <x v="9"/>
    <s v="062 - Defesa do interesse público no processo judiciário"/>
    <x v="239"/>
    <n v="0"/>
    <n v="0"/>
    <n v="18807.37"/>
  </r>
  <r>
    <x v="1"/>
    <x v="23"/>
    <s v="128 - Formação de recursos humanos"/>
    <x v="240"/>
    <n v="32820"/>
    <n v="32820"/>
    <n v="0"/>
  </r>
  <r>
    <x v="1"/>
    <x v="20"/>
    <s v="366 - Educação de jovens e adultos"/>
    <x v="241"/>
    <n v="4377.0600000000004"/>
    <n v="4377.0600000000004"/>
    <n v="30241"/>
  </r>
  <r>
    <x v="1"/>
    <x v="4"/>
    <s v="751 - Conservação de energia"/>
    <x v="242"/>
    <n v="3214404.22"/>
    <n v="3673912.06"/>
    <n v="38853.410000000003"/>
  </r>
  <r>
    <x v="1"/>
    <x v="1"/>
    <s v="846 - Outros encargos especiais"/>
    <x v="0"/>
    <n v="105116349.13"/>
    <n v="105106029.09"/>
    <n v="28739.72"/>
  </r>
  <r>
    <x v="1"/>
    <x v="16"/>
    <s v="664 - Propriedade industrial"/>
    <x v="243"/>
    <n v="15621.42"/>
    <n v="15621.42"/>
    <n v="955359.74"/>
  </r>
  <r>
    <x v="1"/>
    <x v="3"/>
    <s v="542 - Controle ambiental"/>
    <x v="244"/>
    <n v="0"/>
    <n v="0"/>
    <n v="235300"/>
  </r>
  <r>
    <x v="1"/>
    <x v="13"/>
    <s v="331 - Proteção e benefícios ao trabalhador"/>
    <x v="0"/>
    <n v="0"/>
    <n v="0"/>
    <n v="8.5500000000000007"/>
  </r>
  <r>
    <x v="1"/>
    <x v="10"/>
    <s v="665 - Normalização e qualidade"/>
    <x v="0"/>
    <n v="0"/>
    <n v="0"/>
    <n v="75282.75"/>
  </r>
  <r>
    <x v="1"/>
    <x v="12"/>
    <s v="131 - Comunicação social"/>
    <x v="0"/>
    <n v="0"/>
    <n v="0"/>
    <n v="3076694.36"/>
  </r>
  <r>
    <x v="1"/>
    <x v="16"/>
    <s v="571 - Desenvolvimento científico"/>
    <x v="0"/>
    <n v="0"/>
    <n v="0"/>
    <n v="2397771.86"/>
  </r>
  <r>
    <x v="1"/>
    <x v="14"/>
    <s v="243 - Assistência à criança e ao adolescente"/>
    <x v="0"/>
    <n v="0"/>
    <n v="0"/>
    <n v="4023079"/>
  </r>
  <r>
    <x v="1"/>
    <x v="22"/>
    <s v="126 - Tecnologia da informação"/>
    <x v="0"/>
    <n v="0"/>
    <n v="0"/>
    <n v="667661.53"/>
  </r>
  <r>
    <x v="1"/>
    <x v="12"/>
    <s v="662 - Produção industrial"/>
    <x v="245"/>
    <n v="658994.92000000004"/>
    <n v="635717.5"/>
    <n v="2803725.88"/>
  </r>
  <r>
    <x v="1"/>
    <x v="5"/>
    <s v="631 - Reforma agrária"/>
    <x v="0"/>
    <n v="0"/>
    <n v="0"/>
    <n v="0"/>
  </r>
  <r>
    <x v="1"/>
    <x v="19"/>
    <s v="131 - Comunicação social"/>
    <x v="0"/>
    <n v="0"/>
    <n v="0"/>
    <n v="3700"/>
  </r>
  <r>
    <x v="1"/>
    <x v="10"/>
    <s v="126 - Tecnologia da informação"/>
    <x v="246"/>
    <n v="64532.57"/>
    <n v="33529180.18"/>
    <n v="2325147.86"/>
  </r>
  <r>
    <x v="1"/>
    <x v="1"/>
    <s v="301 - Atenção básica"/>
    <x v="0"/>
    <n v="0"/>
    <n v="0"/>
    <n v="118473.94"/>
  </r>
  <r>
    <x v="1"/>
    <x v="5"/>
    <s v="127 - Ordenamento territorial"/>
    <x v="0"/>
    <n v="0"/>
    <n v="0"/>
    <n v="0"/>
  </r>
  <r>
    <x v="1"/>
    <x v="18"/>
    <s v="301 - Atenção básica"/>
    <x v="0"/>
    <n v="0"/>
    <n v="0"/>
    <n v="76928.100000000006"/>
  </r>
  <r>
    <x v="1"/>
    <x v="21"/>
    <s v="846 - Outros encargos especiais"/>
    <x v="247"/>
    <n v="4170494.15"/>
    <n v="3357738.25"/>
    <n v="1656.76"/>
  </r>
  <r>
    <x v="1"/>
    <x v="2"/>
    <s v="573 - Difusão do conhecimento científico e tecnológico"/>
    <x v="248"/>
    <n v="513686.1"/>
    <n v="484957.84"/>
    <n v="42838.65"/>
  </r>
  <r>
    <x v="1"/>
    <x v="20"/>
    <s v="812 - Desporto comunitário"/>
    <x v="0"/>
    <n v="0"/>
    <n v="0"/>
    <n v="27193.97"/>
  </r>
  <r>
    <x v="1"/>
    <x v="9"/>
    <s v="122 - Administração geral"/>
    <x v="249"/>
    <n v="154951.89000000001"/>
    <n v="143565.26"/>
    <n v="13903.48"/>
  </r>
  <r>
    <x v="1"/>
    <x v="6"/>
    <s v="331 - Proteção e benefícios ao trabalhador"/>
    <x v="0"/>
    <n v="-458"/>
    <n v="536714.01"/>
    <n v="0"/>
  </r>
  <r>
    <x v="1"/>
    <x v="18"/>
    <s v="126 - Tecnologia da informação"/>
    <x v="0"/>
    <n v="0"/>
    <n v="0"/>
    <n v="12679.33"/>
  </r>
  <r>
    <x v="1"/>
    <x v="5"/>
    <s v="363 - Ensino profissional"/>
    <x v="0"/>
    <n v="0"/>
    <n v="0"/>
    <n v="222800"/>
  </r>
  <r>
    <x v="1"/>
    <x v="10"/>
    <s v="846 - Outros encargos especiais"/>
    <x v="250"/>
    <n v="41933553.420000002"/>
    <n v="41936229.780000001"/>
    <n v="0"/>
  </r>
  <r>
    <x v="1"/>
    <x v="11"/>
    <s v="841 - Refinanciamento da dívida interna"/>
    <x v="251"/>
    <n v="2408136426.9200001"/>
    <n v="2408136426.9200001"/>
    <n v="0"/>
  </r>
  <r>
    <x v="1"/>
    <x v="7"/>
    <s v="391 - Patrimônio histórico, artístico e arqueológico"/>
    <x v="252"/>
    <n v="943510.99"/>
    <n v="220772.47"/>
    <n v="73011.63"/>
  </r>
  <r>
    <x v="1"/>
    <x v="9"/>
    <s v="301 - Atenção básica"/>
    <x v="0"/>
    <n v="0"/>
    <n v="0"/>
    <n v="1278909.76"/>
  </r>
  <r>
    <x v="1"/>
    <x v="13"/>
    <s v="122 - Administração geral"/>
    <x v="253"/>
    <n v="2187429.7400000002"/>
    <n v="2191526.71"/>
    <n v="4627069.74"/>
  </r>
  <r>
    <x v="1"/>
    <x v="15"/>
    <s v="032 - Controle externo"/>
    <x v="0"/>
    <n v="0"/>
    <n v="0"/>
    <n v="7900"/>
  </r>
  <r>
    <x v="1"/>
    <x v="13"/>
    <s v="242 - Assistência ao portador de deficiência"/>
    <x v="254"/>
    <n v="3898665650.2399998"/>
    <n v="3862448994.02"/>
    <n v="0"/>
  </r>
  <r>
    <x v="1"/>
    <x v="20"/>
    <s v="121 - Planejamento e orçamento"/>
    <x v="255"/>
    <n v="93217.81"/>
    <n v="74392.58"/>
    <n v="20769.48"/>
  </r>
  <r>
    <x v="1"/>
    <x v="12"/>
    <s v="573 - Difusão do conhecimento científico e tecnológico"/>
    <x v="256"/>
    <n v="0"/>
    <n v="0"/>
    <n v="120075.08"/>
  </r>
  <r>
    <x v="1"/>
    <x v="0"/>
    <s v="366 - Educação de jovens e adultos"/>
    <x v="0"/>
    <n v="0"/>
    <n v="0"/>
    <n v="7697990.6799999997"/>
  </r>
  <r>
    <x v="1"/>
    <x v="24"/>
    <s v="031 - Ação legislativa"/>
    <x v="0"/>
    <n v="0"/>
    <n v="0"/>
    <n v="4956.05"/>
  </r>
  <r>
    <x v="1"/>
    <x v="3"/>
    <s v="128 - Formação de recursos humanos"/>
    <x v="257"/>
    <n v="324200"/>
    <n v="322700"/>
    <n v="2681.92"/>
  </r>
  <r>
    <x v="1"/>
    <x v="0"/>
    <s v="694 - Serviços financeiros"/>
    <x v="0"/>
    <n v="323122890.93000001"/>
    <n v="323166860.66000003"/>
    <n v="424297.67"/>
  </r>
  <r>
    <x v="1"/>
    <x v="4"/>
    <s v="665 - Normalização e qualidade"/>
    <x v="258"/>
    <n v="33737.58"/>
    <n v="33001.72"/>
    <n v="109250.59"/>
  </r>
  <r>
    <x v="1"/>
    <x v="23"/>
    <s v="846 - Outros encargos especiais"/>
    <x v="259"/>
    <n v="13717795.140000001"/>
    <n v="13679277.029999999"/>
    <n v="0"/>
  </r>
  <r>
    <x v="1"/>
    <x v="3"/>
    <s v="691 - Promoção comercial"/>
    <x v="0"/>
    <n v="0"/>
    <n v="0"/>
    <n v="0"/>
  </r>
  <r>
    <x v="1"/>
    <x v="22"/>
    <s v="301 - Atenção básica"/>
    <x v="0"/>
    <n v="0"/>
    <n v="0"/>
    <n v="218996.54"/>
  </r>
  <r>
    <x v="1"/>
    <x v="24"/>
    <s v="032 - Controle externo"/>
    <x v="260"/>
    <n v="14189.08"/>
    <n v="14113.66"/>
    <n v="16889.259999999998"/>
  </r>
  <r>
    <x v="1"/>
    <x v="16"/>
    <s v="661 - Promoção industrial"/>
    <x v="261"/>
    <n v="0"/>
    <n v="0"/>
    <n v="232773.92"/>
  </r>
  <r>
    <x v="1"/>
    <x v="18"/>
    <s v="131 - Comunicação social"/>
    <x v="262"/>
    <n v="0"/>
    <n v="0"/>
    <n v="17136370.050000001"/>
  </r>
  <r>
    <x v="1"/>
    <x v="17"/>
    <s v="451 - infra-estrutura urbana"/>
    <x v="0"/>
    <n v="0"/>
    <n v="0"/>
    <n v="0"/>
  </r>
  <r>
    <x v="1"/>
    <x v="12"/>
    <s v="129 - Administração de receitas"/>
    <x v="0"/>
    <n v="0"/>
    <n v="0"/>
    <n v="6578.18"/>
  </r>
  <r>
    <x v="1"/>
    <x v="20"/>
    <s v="811 - Desporto de rendimento"/>
    <x v="0"/>
    <n v="62466.080000000002"/>
    <n v="62466.080000000002"/>
    <n v="64247.02"/>
  </r>
  <r>
    <x v="1"/>
    <x v="3"/>
    <s v="846 - Outros encargos especiais"/>
    <x v="0"/>
    <n v="13828548.039999999"/>
    <n v="13793030.539999999"/>
    <n v="0"/>
  </r>
  <r>
    <x v="1"/>
    <x v="27"/>
    <s v="812 - Desporto comunitário"/>
    <x v="263"/>
    <n v="0"/>
    <n v="0"/>
    <n v="2087019.47"/>
  </r>
  <r>
    <x v="1"/>
    <x v="16"/>
    <s v="665 - Normalização e qualidade"/>
    <x v="264"/>
    <n v="552039.26"/>
    <n v="517757.47"/>
    <n v="66502.509999999995"/>
  </r>
  <r>
    <x v="1"/>
    <x v="3"/>
    <s v="212 - Cooperação internacional"/>
    <x v="265"/>
    <n v="51833.81"/>
    <n v="51833.81"/>
    <n v="2180816.2400000002"/>
  </r>
  <r>
    <x v="1"/>
    <x v="18"/>
    <s v="422 - Direitos individuais, coletivos e difusos"/>
    <x v="261"/>
    <n v="0"/>
    <n v="0"/>
    <n v="37375.760000000002"/>
  </r>
  <r>
    <x v="1"/>
    <x v="5"/>
    <s v="545 - Meteorologia"/>
    <x v="266"/>
    <n v="220456.83"/>
    <n v="200170.74"/>
    <n v="227674.82"/>
  </r>
  <r>
    <x v="1"/>
    <x v="4"/>
    <s v="121 - Planejamento e orçamento"/>
    <x v="267"/>
    <n v="21819.17"/>
    <n v="14102.99"/>
    <n v="220086.59"/>
  </r>
  <r>
    <x v="1"/>
    <x v="5"/>
    <s v="301 - Atenção básica"/>
    <x v="0"/>
    <n v="0"/>
    <n v="0"/>
    <n v="14563479.390000001"/>
  </r>
  <r>
    <x v="1"/>
    <x v="7"/>
    <s v="572 - Desenvolvimento tecnológico e engenharia"/>
    <x v="268"/>
    <n v="4096201.6"/>
    <n v="14940.09"/>
    <n v="23484540.510000002"/>
  </r>
  <r>
    <x v="1"/>
    <x v="16"/>
    <s v="846 - Outros encargos especiais"/>
    <x v="269"/>
    <n v="8112797.0899999999"/>
    <n v="8112096.5199999996"/>
    <n v="0"/>
  </r>
  <r>
    <x v="1"/>
    <x v="0"/>
    <s v="301 - Atenção básica"/>
    <x v="0"/>
    <n v="0"/>
    <n v="0"/>
    <n v="736151.22"/>
  </r>
  <r>
    <x v="1"/>
    <x v="26"/>
    <s v="781 - Transporte aéreo"/>
    <x v="0"/>
    <n v="0"/>
    <n v="0"/>
    <n v="4730131.49"/>
  </r>
  <r>
    <x v="1"/>
    <x v="16"/>
    <s v="128 - Formação de recursos humanos"/>
    <x v="270"/>
    <n v="8212"/>
    <n v="8669.2199999999993"/>
    <n v="6831.51"/>
  </r>
  <r>
    <x v="1"/>
    <x v="19"/>
    <s v="331 - Proteção e benefícios ao trabalhador"/>
    <x v="271"/>
    <n v="2171535.62"/>
    <n v="2057884.08"/>
    <n v="0"/>
  </r>
  <r>
    <x v="1"/>
    <x v="21"/>
    <s v="128 - Formação de recursos humanos"/>
    <x v="0"/>
    <n v="2329.62"/>
    <n v="1503.31"/>
    <n v="1981.66"/>
  </r>
  <r>
    <x v="1"/>
    <x v="7"/>
    <s v="121 - Planejamento e orçamento"/>
    <x v="272"/>
    <n v="5297568.5999999996"/>
    <n v="4118.6000000000004"/>
    <n v="5000000"/>
  </r>
  <r>
    <x v="1"/>
    <x v="7"/>
    <s v="573 - Difusão do conhecimento científico e tecnológico"/>
    <x v="273"/>
    <n v="1391373.29"/>
    <n v="679661.45"/>
    <n v="5651021.1399999997"/>
  </r>
  <r>
    <x v="1"/>
    <x v="26"/>
    <s v="126 - Tecnologia da informação"/>
    <x v="274"/>
    <n v="514176.22"/>
    <n v="554078.42000000004"/>
    <n v="7589026.2000000002"/>
  </r>
  <r>
    <x v="1"/>
    <x v="26"/>
    <s v="130 - Administração de concessões"/>
    <x v="275"/>
    <n v="30155.67"/>
    <n v="30155.67"/>
    <n v="6024.39"/>
  </r>
  <r>
    <x v="1"/>
    <x v="2"/>
    <s v="212 - Cooperação internacional"/>
    <x v="276"/>
    <n v="408768.84"/>
    <n v="408768.84"/>
    <n v="9728.42"/>
  </r>
  <r>
    <x v="1"/>
    <x v="21"/>
    <s v="391 - Patrimônio histórico, artístico e arqueológico"/>
    <x v="277"/>
    <n v="43096.74"/>
    <n v="17370.18"/>
    <n v="1434028.65"/>
  </r>
  <r>
    <x v="1"/>
    <x v="23"/>
    <s v="571 - Desenvolvimento científico"/>
    <x v="278"/>
    <n v="5824.42"/>
    <n v="5005"/>
    <n v="22865.16"/>
  </r>
  <r>
    <x v="1"/>
    <x v="4"/>
    <s v="752 - Energia elétrica"/>
    <x v="279"/>
    <n v="1512116.59"/>
    <n v="1511180.63"/>
    <n v="1341517.99"/>
  </r>
  <r>
    <x v="1"/>
    <x v="11"/>
    <s v="843 - Serviço da dívida interna"/>
    <x v="280"/>
    <n v="37285485371.07"/>
    <n v="37285485371.07"/>
    <n v="1004040.02"/>
  </r>
  <r>
    <x v="1"/>
    <x v="10"/>
    <s v="301 - Atenção básica"/>
    <x v="0"/>
    <n v="0"/>
    <n v="0"/>
    <n v="948800.82"/>
  </r>
  <r>
    <x v="1"/>
    <x v="10"/>
    <s v="128 - Formação de recursos humanos"/>
    <x v="281"/>
    <n v="24796.48"/>
    <n v="24796.48"/>
    <n v="0"/>
  </r>
  <r>
    <x v="1"/>
    <x v="14"/>
    <s v="846 - Outros encargos especiais"/>
    <x v="282"/>
    <n v="6092763.1900000004"/>
    <n v="6092763.1900000004"/>
    <n v="0"/>
  </r>
  <r>
    <x v="1"/>
    <x v="3"/>
    <s v="301 - Atenção básica"/>
    <x v="0"/>
    <n v="0"/>
    <n v="0"/>
    <n v="963144.92"/>
  </r>
  <r>
    <x v="1"/>
    <x v="6"/>
    <s v="693 - Comércio exterior"/>
    <x v="283"/>
    <n v="114710125.28"/>
    <n v="120064834.66"/>
    <n v="23621401.379999999"/>
  </r>
  <r>
    <x v="1"/>
    <x v="13"/>
    <s v="125 - Normatização e fiscalização"/>
    <x v="284"/>
    <n v="136991.59"/>
    <n v="132071.28"/>
    <n v="40126.589999999997"/>
  </r>
  <r>
    <x v="1"/>
    <x v="11"/>
    <s v="847 - Transferências para a educação básica"/>
    <x v="285"/>
    <n v="9318661222.1800003"/>
    <n v="9318661222.1800003"/>
    <n v="18029.11"/>
  </r>
  <r>
    <x v="1"/>
    <x v="16"/>
    <s v="301 - Atenção básica"/>
    <x v="0"/>
    <n v="0"/>
    <n v="0"/>
    <n v="19310.740000000002"/>
  </r>
  <r>
    <x v="1"/>
    <x v="12"/>
    <s v="126 - Tecnologia da informação"/>
    <x v="286"/>
    <n v="5430002.0899999999"/>
    <n v="5419952.6299999999"/>
    <n v="26871901.629999999"/>
  </r>
  <r>
    <x v="1"/>
    <x v="23"/>
    <s v="543 - Recuperação de áreas degradadas"/>
    <x v="287"/>
    <n v="0"/>
    <n v="0"/>
    <n v="567471.39"/>
  </r>
  <r>
    <x v="1"/>
    <x v="26"/>
    <s v="846 - Outros encargos especiais"/>
    <x v="288"/>
    <n v="14409673.720000001"/>
    <n v="14412987.24"/>
    <n v="4970.28"/>
  </r>
  <r>
    <x v="1"/>
    <x v="1"/>
    <s v="331 - Proteção e benefícios ao trabalhador"/>
    <x v="289"/>
    <n v="30169598.359999999"/>
    <n v="28883991.82"/>
    <n v="0"/>
  </r>
  <r>
    <x v="1"/>
    <x v="0"/>
    <s v="847 - Transferências para a educação básica"/>
    <x v="0"/>
    <n v="2103286601.0799999"/>
    <n v="2103286601.0799999"/>
    <n v="0"/>
  </r>
  <r>
    <x v="1"/>
    <x v="20"/>
    <s v="131 - Comunicação social"/>
    <x v="290"/>
    <n v="41426.379999999997"/>
    <n v="24550.6"/>
    <n v="317582.39"/>
  </r>
  <r>
    <x v="1"/>
    <x v="22"/>
    <s v="571 - Desenvolvimento científico"/>
    <x v="291"/>
    <n v="11183.78"/>
    <n v="24434.880000000001"/>
    <n v="73148.800000000003"/>
  </r>
  <r>
    <x v="1"/>
    <x v="4"/>
    <s v="128 - Formação de recursos humanos"/>
    <x v="292"/>
    <n v="26729.75"/>
    <n v="49300.95"/>
    <n v="35801.550000000003"/>
  </r>
  <r>
    <x v="1"/>
    <x v="7"/>
    <s v="541 - Preservação e conservação ambiental"/>
    <x v="293"/>
    <n v="9484.82"/>
    <n v="8536.3700000000008"/>
    <n v="762151.88"/>
  </r>
  <r>
    <x v="1"/>
    <x v="8"/>
    <s v="363 - Ensino profissional"/>
    <x v="294"/>
    <n v="2680.19"/>
    <n v="2680.19"/>
    <n v="592310.67000000004"/>
  </r>
  <r>
    <x v="1"/>
    <x v="18"/>
    <s v="331 - Proteção e benefícios ao trabalhador"/>
    <x v="295"/>
    <n v="1658666.59"/>
    <n v="1598135.93"/>
    <n v="0"/>
  </r>
  <r>
    <x v="1"/>
    <x v="0"/>
    <s v="123 - Administração financeira"/>
    <x v="296"/>
    <n v="3437692.1"/>
    <n v="3437692.1"/>
    <n v="0"/>
  </r>
  <r>
    <x v="1"/>
    <x v="10"/>
    <s v="092 - Representação judicial e extrajudicial"/>
    <x v="297"/>
    <n v="4459303.1100000003"/>
    <n v="4477061.93"/>
    <n v="249395.12"/>
  </r>
  <r>
    <x v="1"/>
    <x v="8"/>
    <s v="422 - Direitos individuais, coletivos e difusos"/>
    <x v="298"/>
    <n v="25766.85"/>
    <n v="24216"/>
    <n v="1764.9"/>
  </r>
  <r>
    <x v="1"/>
    <x v="13"/>
    <s v="241 - Assistência ao idoso"/>
    <x v="299"/>
    <n v="3157178357.6700001"/>
    <n v="3137338365.5599999"/>
    <n v="50074.09"/>
  </r>
  <r>
    <x v="1"/>
    <x v="7"/>
    <s v="512 - Saneamento básico urbano"/>
    <x v="300"/>
    <n v="20651.080000000002"/>
    <n v="12164.82"/>
    <n v="9429954.5700000003"/>
  </r>
  <r>
    <x v="1"/>
    <x v="2"/>
    <s v="331 - Proteção e benefícios ao trabalhador"/>
    <x v="301"/>
    <n v="57561003.460000001"/>
    <n v="57562923.859999999"/>
    <n v="0"/>
  </r>
  <r>
    <x v="1"/>
    <x v="16"/>
    <s v="544 - Recursos hídricos"/>
    <x v="302"/>
    <n v="122937.3"/>
    <n v="142787.35"/>
    <n v="158882.42000000001"/>
  </r>
  <r>
    <x v="1"/>
    <x v="6"/>
    <s v="122 - Administração geral"/>
    <x v="303"/>
    <n v="737811.52"/>
    <n v="5872388.9299999997"/>
    <n v="2868494.92"/>
  </r>
  <r>
    <x v="1"/>
    <x v="12"/>
    <s v="846 - Outros encargos especiais"/>
    <x v="304"/>
    <n v="148225162.31"/>
    <n v="67827194.700000003"/>
    <n v="36678.18"/>
  </r>
  <r>
    <x v="1"/>
    <x v="12"/>
    <s v="092 - Representação judicial e extrajudicial"/>
    <x v="305"/>
    <n v="1322844.1200000001"/>
    <n v="1331961.3999999999"/>
    <n v="75787.39"/>
  </r>
  <r>
    <x v="1"/>
    <x v="22"/>
    <s v="123 - Administração financeira"/>
    <x v="0"/>
    <n v="0"/>
    <n v="0"/>
    <n v="3862.58"/>
  </r>
  <r>
    <x v="1"/>
    <x v="22"/>
    <s v="333 - Empregabilidade"/>
    <x v="0"/>
    <n v="0"/>
    <n v="0"/>
    <n v="3323599.33"/>
  </r>
  <r>
    <x v="1"/>
    <x v="12"/>
    <s v="364 - Ensino superior"/>
    <x v="306"/>
    <n v="45359.49"/>
    <n v="18821.150000000001"/>
    <n v="3159.51"/>
  </r>
  <r>
    <x v="1"/>
    <x v="7"/>
    <s v="125 - Normatização e fiscalização"/>
    <x v="307"/>
    <n v="944671.17"/>
    <n v="915621.06"/>
    <n v="62534"/>
  </r>
  <r>
    <x v="1"/>
    <x v="20"/>
    <s v="364 - Ensino superior"/>
    <x v="308"/>
    <n v="10359.18"/>
    <n v="2944.14"/>
    <n v="1362442.93"/>
  </r>
  <r>
    <x v="1"/>
    <x v="20"/>
    <s v="722 - Telecomunicações"/>
    <x v="309"/>
    <n v="406.2"/>
    <n v="406.2"/>
    <n v="1017132.2"/>
  </r>
  <r>
    <x v="1"/>
    <x v="9"/>
    <s v="331 - Proteção e benefícios ao trabalhador"/>
    <x v="0"/>
    <n v="7749451.3899999997"/>
    <n v="6687979.5599999996"/>
    <n v="0"/>
  </r>
  <r>
    <x v="1"/>
    <x v="19"/>
    <s v="451 - infra-estrutura urbana"/>
    <x v="0"/>
    <n v="0"/>
    <n v="0"/>
    <n v="6775733.3600000003"/>
  </r>
  <r>
    <x v="1"/>
    <x v="14"/>
    <s v="301 - Atenção básica"/>
    <x v="0"/>
    <n v="0"/>
    <n v="0"/>
    <n v="121522.84"/>
  </r>
  <r>
    <x v="1"/>
    <x v="20"/>
    <s v="571 - Desenvolvimento científico"/>
    <x v="310"/>
    <n v="33267.1"/>
    <n v="11481.12"/>
    <n v="36312.980000000003"/>
  </r>
  <r>
    <x v="1"/>
    <x v="15"/>
    <s v="122 - Administração geral"/>
    <x v="0"/>
    <n v="78330.22"/>
    <n v="78330.22"/>
    <n v="51894.07"/>
  </r>
  <r>
    <x v="1"/>
    <x v="26"/>
    <s v="783 - Transporte ferroviário"/>
    <x v="311"/>
    <n v="588755.30000000005"/>
    <n v="572952.03"/>
    <n v="11394957.470000001"/>
  </r>
  <r>
    <x v="1"/>
    <x v="23"/>
    <s v="125 - Normatização e fiscalização"/>
    <x v="312"/>
    <n v="13001718.26"/>
    <n v="9763477.0399999991"/>
    <n v="9147714.3599999994"/>
  </r>
  <r>
    <x v="1"/>
    <x v="20"/>
    <s v="302 - Assistência hospitalar e ambulatorial"/>
    <x v="313"/>
    <n v="392823.99"/>
    <n v="392823.99"/>
    <n v="2081703.74"/>
  </r>
  <r>
    <x v="1"/>
    <x v="20"/>
    <s v="126 - Tecnologia da informação"/>
    <x v="314"/>
    <n v="15864.25"/>
    <n v="9803.5"/>
    <n v="2174476.94"/>
  </r>
  <r>
    <x v="1"/>
    <x v="23"/>
    <s v="573 - Difusão do conhecimento científico e tecnológico"/>
    <x v="315"/>
    <n v="0"/>
    <n v="7061.01"/>
    <n v="825314.07"/>
  </r>
  <r>
    <x v="1"/>
    <x v="8"/>
    <s v="631 - Reforma agrária"/>
    <x v="316"/>
    <n v="153112.22"/>
    <n v="169479.4"/>
    <n v="279127.89"/>
  </r>
  <r>
    <x v="1"/>
    <x v="4"/>
    <s v="331 - Proteção e benefícios ao trabalhador"/>
    <x v="317"/>
    <n v="2121014.83"/>
    <n v="2089989.83"/>
    <n v="0"/>
  </r>
  <r>
    <x v="1"/>
    <x v="0"/>
    <s v="573 - Difusão do conhecimento científico e tecnológico"/>
    <x v="318"/>
    <n v="235786.64"/>
    <n v="235786.64"/>
    <n v="93297.59"/>
  </r>
  <r>
    <x v="1"/>
    <x v="20"/>
    <s v="368 - Educação básica"/>
    <x v="319"/>
    <n v="397911.43"/>
    <n v="365265.5"/>
    <n v="681647.23"/>
  </r>
  <r>
    <x v="1"/>
    <x v="20"/>
    <s v="244 - Assistência comunitária"/>
    <x v="320"/>
    <n v="11890.09"/>
    <n v="11890.09"/>
    <n v="72610142.489999995"/>
  </r>
  <r>
    <x v="1"/>
    <x v="5"/>
    <s v="609 - Defesa agropecuária"/>
    <x v="321"/>
    <n v="345366.54"/>
    <n v="266843.62"/>
    <n v="2301988.4900000002"/>
  </r>
  <r>
    <x v="1"/>
    <x v="12"/>
    <s v="123 - Administração financeira"/>
    <x v="322"/>
    <n v="329801.44"/>
    <n v="331017.53000000003"/>
    <n v="360579.56"/>
  </r>
  <r>
    <x v="1"/>
    <x v="14"/>
    <s v="125 - Normatização e fiscalização"/>
    <x v="323"/>
    <n v="820794"/>
    <n v="601091.65"/>
    <n v="2466334.84"/>
  </r>
  <r>
    <x v="1"/>
    <x v="23"/>
    <s v="331 - Proteção e benefícios ao trabalhador"/>
    <x v="324"/>
    <n v="4070411.84"/>
    <n v="4096178.84"/>
    <n v="0"/>
  </r>
  <r>
    <x v="1"/>
    <x v="26"/>
    <s v="784 - Transporte hidroviário"/>
    <x v="325"/>
    <n v="160365.82"/>
    <n v="146414.26"/>
    <n v="12205282.82"/>
  </r>
  <r>
    <x v="1"/>
    <x v="10"/>
    <s v="122 - Administração geral"/>
    <x v="326"/>
    <n v="197169380.78999999"/>
    <n v="212770932.13999999"/>
    <n v="11445666.210000001"/>
  </r>
  <r>
    <x v="1"/>
    <x v="16"/>
    <s v="126 - Tecnologia da informação"/>
    <x v="327"/>
    <n v="488623.12"/>
    <n v="392649.93"/>
    <n v="560605.12"/>
  </r>
  <r>
    <x v="1"/>
    <x v="8"/>
    <s v="606 - Extensão rural"/>
    <x v="0"/>
    <n v="0"/>
    <n v="0"/>
    <n v="0"/>
  </r>
  <r>
    <x v="1"/>
    <x v="8"/>
    <s v="127 - Ordenamento territorial"/>
    <x v="328"/>
    <n v="1353.59"/>
    <n v="1846.14"/>
    <n v="1063894.29"/>
  </r>
  <r>
    <x v="1"/>
    <x v="26"/>
    <s v="301 - Atenção básica"/>
    <x v="0"/>
    <n v="0"/>
    <n v="0"/>
    <n v="70495.210000000006"/>
  </r>
  <r>
    <x v="1"/>
    <x v="12"/>
    <s v="128 - Formação de recursos humanos"/>
    <x v="329"/>
    <n v="0"/>
    <n v="0"/>
    <n v="338344.66"/>
  </r>
  <r>
    <x v="1"/>
    <x v="1"/>
    <s v="421 - Custódia e reintegração social"/>
    <x v="330"/>
    <n v="2031215.25"/>
    <n v="1980238.95"/>
    <n v="9659547.9100000001"/>
  </r>
  <r>
    <x v="1"/>
    <x v="4"/>
    <s v="572 - Desenvolvimento tecnológico e engenharia"/>
    <x v="331"/>
    <n v="3809423.23"/>
    <n v="1818300.38"/>
    <n v="236090.73"/>
  </r>
  <r>
    <x v="1"/>
    <x v="22"/>
    <s v="125 - Normatização e fiscalização"/>
    <x v="332"/>
    <n v="800109.86"/>
    <n v="794273.65"/>
    <n v="1408396.66"/>
  </r>
  <r>
    <x v="1"/>
    <x v="12"/>
    <s v="391 - Patrimônio histórico, artístico e arqueológico"/>
    <x v="333"/>
    <n v="936985.85"/>
    <n v="712026.99"/>
    <n v="1591768"/>
  </r>
  <r>
    <x v="1"/>
    <x v="21"/>
    <s v="331 - Proteção e benefícios ao trabalhador"/>
    <x v="334"/>
    <n v="2298169.09"/>
    <n v="1698195.3"/>
    <n v="0"/>
  </r>
  <r>
    <x v="1"/>
    <x v="12"/>
    <s v="722 - Telecomunicações"/>
    <x v="335"/>
    <n v="905847.28"/>
    <n v="219273.5"/>
    <n v="0"/>
  </r>
  <r>
    <x v="1"/>
    <x v="26"/>
    <s v="331 - Proteção e benefícios ao trabalhador"/>
    <x v="336"/>
    <n v="6669794.3600000003"/>
    <n v="6612005.5300000003"/>
    <n v="0"/>
  </r>
  <r>
    <x v="1"/>
    <x v="23"/>
    <s v="512 - Saneamento básico urbano"/>
    <x v="337"/>
    <n v="594705.71"/>
    <n v="594705.71"/>
    <n v="1935000"/>
  </r>
  <r>
    <x v="1"/>
    <x v="20"/>
    <s v="781 - Transporte aéreo"/>
    <x v="338"/>
    <n v="0"/>
    <n v="0"/>
    <n v="292239.5"/>
  </r>
  <r>
    <x v="1"/>
    <x v="25"/>
    <s v="512 - Saneamento básico urbano"/>
    <x v="339"/>
    <n v="5164.5"/>
    <n v="5164.5"/>
    <n v="4076627.75"/>
  </r>
  <r>
    <x v="1"/>
    <x v="0"/>
    <s v="131 - Comunicação social"/>
    <x v="340"/>
    <n v="0"/>
    <n v="0"/>
    <n v="2633635.7599999998"/>
  </r>
  <r>
    <x v="1"/>
    <x v="6"/>
    <s v="695 - Turismo"/>
    <x v="341"/>
    <n v="257146.56"/>
    <n v="257146.56"/>
    <n v="155329228.81999999"/>
  </r>
  <r>
    <x v="1"/>
    <x v="27"/>
    <s v="811 - Desporto de rendimento"/>
    <x v="342"/>
    <n v="430193.93"/>
    <n v="430193.93"/>
    <n v="11833371.939999999"/>
  </r>
  <r>
    <x v="1"/>
    <x v="7"/>
    <s v="126 - Tecnologia da informação"/>
    <x v="343"/>
    <n v="877556.39"/>
    <n v="187438.29"/>
    <n v="34163012.130000003"/>
  </r>
  <r>
    <x v="1"/>
    <x v="5"/>
    <s v="573 - Difusão do conhecimento científico e tecnológico"/>
    <x v="0"/>
    <n v="0"/>
    <n v="0"/>
    <n v="880347.34"/>
  </r>
  <r>
    <x v="1"/>
    <x v="13"/>
    <s v="244 - Assistência comunitária"/>
    <x v="344"/>
    <n v="13808067470.09"/>
    <n v="13805107370.09"/>
    <n v="85455448.969999999"/>
  </r>
  <r>
    <x v="1"/>
    <x v="16"/>
    <s v="182 - Defesa civil"/>
    <x v="345"/>
    <n v="263609.38"/>
    <n v="264208.32"/>
    <n v="0"/>
  </r>
  <r>
    <x v="1"/>
    <x v="21"/>
    <s v="392 - Difusão cultural"/>
    <x v="346"/>
    <n v="2790635.73"/>
    <n v="178983.28"/>
    <n v="5517558.3499999996"/>
  </r>
  <r>
    <x v="1"/>
    <x v="16"/>
    <s v="331 - Proteção e benefícios ao trabalhador"/>
    <x v="347"/>
    <n v="5367585.96"/>
    <n v="5351145.96"/>
    <n v="0"/>
  </r>
  <r>
    <x v="1"/>
    <x v="15"/>
    <s v="061 - Ação judiciária"/>
    <x v="348"/>
    <n v="176670.64"/>
    <n v="176670.64"/>
    <n v="3321762.99"/>
  </r>
  <r>
    <x v="1"/>
    <x v="26"/>
    <s v="125 - Normatização e fiscalização"/>
    <x v="349"/>
    <n v="2006764.35"/>
    <n v="2156838.88"/>
    <n v="6910641.9800000004"/>
  </r>
  <r>
    <x v="1"/>
    <x v="7"/>
    <s v="128 - Formação de recursos humanos"/>
    <x v="350"/>
    <n v="125851536.15000001"/>
    <n v="122212467.92"/>
    <n v="2952212.78"/>
  </r>
  <r>
    <x v="1"/>
    <x v="18"/>
    <s v="722 - Telecomunicações"/>
    <x v="351"/>
    <n v="15554723.109999999"/>
    <n v="8002512.1900000004"/>
    <n v="23102200.140000001"/>
  </r>
  <r>
    <x v="1"/>
    <x v="5"/>
    <s v="607 - Irrigação"/>
    <x v="352"/>
    <n v="5684603.96"/>
    <n v="22325227.23"/>
    <n v="20932345.399999999"/>
  </r>
  <r>
    <x v="1"/>
    <x v="10"/>
    <s v="124 - Controle interno"/>
    <x v="353"/>
    <n v="139551.17000000001"/>
    <n v="129909.49"/>
    <n v="0"/>
  </r>
  <r>
    <x v="1"/>
    <x v="14"/>
    <s v="331 - Proteção e benefícios ao trabalhador"/>
    <x v="354"/>
    <n v="1232766.9099999999"/>
    <n v="1224148.1299999999"/>
    <n v="0"/>
  </r>
  <r>
    <x v="1"/>
    <x v="3"/>
    <s v="573 - Difusão do conhecimento científico e tecnológico"/>
    <x v="355"/>
    <n v="34607.129999999997"/>
    <n v="33595.65"/>
    <n v="4336410.41"/>
  </r>
  <r>
    <x v="1"/>
    <x v="16"/>
    <s v="125 - Normatização e fiscalização"/>
    <x v="356"/>
    <n v="48791929.409999996"/>
    <n v="48680527.329999998"/>
    <n v="1035992.18"/>
  </r>
  <r>
    <x v="1"/>
    <x v="20"/>
    <s v="846 - Outros encargos especiais"/>
    <x v="357"/>
    <n v="18805663.550000001"/>
    <n v="18787135.23"/>
    <n v="0"/>
  </r>
  <r>
    <x v="1"/>
    <x v="20"/>
    <s v="542 - Controle ambiental"/>
    <x v="358"/>
    <n v="612604.48"/>
    <n v="502497.85"/>
    <n v="2367674.66"/>
  </r>
  <r>
    <x v="1"/>
    <x v="1"/>
    <s v="422 - Direitos individuais, coletivos e difusos"/>
    <x v="0"/>
    <n v="0"/>
    <n v="0"/>
    <n v="1618574.75"/>
  </r>
  <r>
    <x v="1"/>
    <x v="14"/>
    <s v="422 - Direitos individuais, coletivos e difusos"/>
    <x v="359"/>
    <n v="2496355.36"/>
    <n v="2291637.42"/>
    <n v="9477174.8499999996"/>
  </r>
  <r>
    <x v="1"/>
    <x v="14"/>
    <s v="423 - Assistência aos povos indígenas"/>
    <x v="360"/>
    <n v="321698.53000000003"/>
    <n v="295266.71000000002"/>
    <n v="1770287.1"/>
  </r>
  <r>
    <x v="1"/>
    <x v="5"/>
    <s v="608 - Promoção da produção agropecuária"/>
    <x v="361"/>
    <n v="336168634.29000002"/>
    <n v="336080273.16000003"/>
    <n v="143241050.94"/>
  </r>
  <r>
    <x v="1"/>
    <x v="3"/>
    <s v="125 - Normatização e fiscalização"/>
    <x v="362"/>
    <n v="1910.08"/>
    <n v="1910.08"/>
    <n v="584434.06000000006"/>
  </r>
  <r>
    <x v="1"/>
    <x v="18"/>
    <s v="122 - Administração geral"/>
    <x v="363"/>
    <n v="45943189.409999996"/>
    <n v="69356641.819999993"/>
    <n v="11055311.48"/>
  </r>
  <r>
    <x v="1"/>
    <x v="20"/>
    <s v="482 - Habitação urbana"/>
    <x v="364"/>
    <n v="5405296.79"/>
    <n v="5384410.1799999997"/>
    <n v="11058318.27"/>
  </r>
  <r>
    <x v="1"/>
    <x v="20"/>
    <s v="183 - Informação e inteligência"/>
    <x v="365"/>
    <n v="1267903.6200000001"/>
    <n v="1149687.67"/>
    <n v="458686.65"/>
  </r>
  <r>
    <x v="1"/>
    <x v="16"/>
    <s v="127 - Ordenamento territorial"/>
    <x v="366"/>
    <n v="88814.02"/>
    <n v="57209.31"/>
    <n v="395157.74"/>
  </r>
  <r>
    <x v="1"/>
    <x v="4"/>
    <s v="125 - Normatização e fiscalização"/>
    <x v="367"/>
    <n v="6446799.96"/>
    <n v="6392404.1900000004"/>
    <n v="4416586.66"/>
  </r>
  <r>
    <x v="1"/>
    <x v="20"/>
    <s v="572 - Desenvolvimento tecnológico e engenharia"/>
    <x v="368"/>
    <n v="2353815"/>
    <n v="437586.06"/>
    <n v="3352947.76"/>
  </r>
  <r>
    <x v="1"/>
    <x v="4"/>
    <s v="301 - Atenção básica"/>
    <x v="0"/>
    <n v="0"/>
    <n v="0"/>
    <n v="35625.480000000003"/>
  </r>
  <r>
    <x v="1"/>
    <x v="7"/>
    <s v="511 - Saneamento básico rural"/>
    <x v="369"/>
    <n v="2463228.39"/>
    <n v="2159573.2200000002"/>
    <n v="16234142.83"/>
  </r>
  <r>
    <x v="1"/>
    <x v="12"/>
    <s v="183 - Informação e inteligência"/>
    <x v="370"/>
    <n v="3401787.15"/>
    <n v="3330076.28"/>
    <n v="1179728.51"/>
  </r>
  <r>
    <x v="1"/>
    <x v="10"/>
    <s v="271 - Previdência básica"/>
    <x v="371"/>
    <n v="64216059652.279999"/>
    <n v="63755339298.57"/>
    <n v="483099219.11000001"/>
  </r>
  <r>
    <x v="1"/>
    <x v="7"/>
    <s v="305 - Vigilância epidemiológica"/>
    <x v="372"/>
    <n v="120615424.89"/>
    <n v="119421564.63"/>
    <n v="1322652957.45"/>
  </r>
  <r>
    <x v="1"/>
    <x v="12"/>
    <s v="331 - Proteção e benefícios ao trabalhador"/>
    <x v="373"/>
    <n v="69182259.049999997"/>
    <n v="71402163.299999997"/>
    <n v="0"/>
  </r>
  <r>
    <x v="1"/>
    <x v="16"/>
    <s v="663 - Mineração"/>
    <x v="374"/>
    <n v="611228.61"/>
    <n v="266814.05"/>
    <n v="1866281.99"/>
  </r>
  <r>
    <x v="1"/>
    <x v="7"/>
    <s v="423 - Assistência aos povos indígenas"/>
    <x v="375"/>
    <n v="75089697.359999999"/>
    <n v="91678161.579999998"/>
    <n v="17944349.91"/>
  </r>
  <r>
    <x v="1"/>
    <x v="3"/>
    <s v="662 - Produção industrial"/>
    <x v="376"/>
    <n v="442105.48"/>
    <n v="301805.61"/>
    <n v="8299709.2000000002"/>
  </r>
  <r>
    <x v="1"/>
    <x v="5"/>
    <s v="606 - Extensão rural"/>
    <x v="0"/>
    <n v="0"/>
    <n v="0"/>
    <n v="206276.07"/>
  </r>
  <r>
    <x v="1"/>
    <x v="26"/>
    <s v="121 - Planejamento e orçamento"/>
    <x v="377"/>
    <n v="1000"/>
    <n v="1000"/>
    <n v="9176073.3000000007"/>
  </r>
  <r>
    <x v="1"/>
    <x v="7"/>
    <s v="303 - Suporte profilático e terapêutico"/>
    <x v="378"/>
    <n v="541014807.44000006"/>
    <n v="455301552.51999998"/>
    <n v="1127201308.26"/>
  </r>
  <r>
    <x v="1"/>
    <x v="19"/>
    <s v="244 - Assistência comunitária"/>
    <x v="0"/>
    <n v="0"/>
    <n v="0"/>
    <n v="34468904.07"/>
  </r>
  <r>
    <x v="1"/>
    <x v="19"/>
    <s v="301 - Atenção básica"/>
    <x v="0"/>
    <n v="0"/>
    <n v="0"/>
    <n v="1026364.9"/>
  </r>
  <r>
    <x v="1"/>
    <x v="0"/>
    <s v="846 - Outros encargos especiais"/>
    <x v="379"/>
    <n v="921022678.66999996"/>
    <n v="924334222.49000001"/>
    <n v="7885.15"/>
  </r>
  <r>
    <x v="1"/>
    <x v="7"/>
    <s v="304 - Vigilância sanitária"/>
    <x v="380"/>
    <n v="1748040.34"/>
    <n v="1663197.7"/>
    <n v="516150.31"/>
  </r>
  <r>
    <x v="1"/>
    <x v="20"/>
    <s v="333 - Empregabilidade"/>
    <x v="0"/>
    <n v="0"/>
    <n v="0"/>
    <n v="69505.47"/>
  </r>
  <r>
    <x v="1"/>
    <x v="4"/>
    <s v="122 - Administração geral"/>
    <x v="381"/>
    <n v="44913764.390000001"/>
    <n v="47141528.130000003"/>
    <n v="8408943.0399999991"/>
  </r>
  <r>
    <x v="1"/>
    <x v="19"/>
    <s v="122 - Administração geral"/>
    <x v="382"/>
    <n v="49834104.450000003"/>
    <n v="52724721.789999999"/>
    <n v="1013350.97"/>
  </r>
  <r>
    <x v="1"/>
    <x v="10"/>
    <s v="331 - Proteção e benefícios ao trabalhador"/>
    <x v="383"/>
    <n v="18740099.079999998"/>
    <n v="18248040.68"/>
    <n v="0"/>
  </r>
  <r>
    <x v="1"/>
    <x v="0"/>
    <s v="367 - Educação especial"/>
    <x v="384"/>
    <n v="1107669.75"/>
    <n v="793872.92"/>
    <n v="1707025.1"/>
  </r>
  <r>
    <x v="1"/>
    <x v="3"/>
    <s v="331 - Proteção e benefícios ao trabalhador"/>
    <x v="385"/>
    <n v="6968995.6299999999"/>
    <n v="5348753.9800000004"/>
    <n v="0"/>
  </r>
  <r>
    <x v="1"/>
    <x v="5"/>
    <s v="125 - Normatização e fiscalização"/>
    <x v="386"/>
    <n v="2409260.5499999998"/>
    <n v="1896651.37"/>
    <n v="10193815.630000001"/>
  </r>
  <r>
    <x v="1"/>
    <x v="2"/>
    <s v="691 - Promoção comercial"/>
    <x v="387"/>
    <n v="290717.55"/>
    <n v="290717.55"/>
    <n v="262207.24"/>
  </r>
  <r>
    <x v="1"/>
    <x v="26"/>
    <s v="122 - Administração geral"/>
    <x v="388"/>
    <n v="112955119.23"/>
    <n v="116719912.87"/>
    <n v="40518943.560000002"/>
  </r>
  <r>
    <x v="1"/>
    <x v="3"/>
    <s v="572 - Desenvolvimento tecnológico e engenharia"/>
    <x v="389"/>
    <n v="417390349.63999999"/>
    <n v="82184751.150000006"/>
    <n v="26538072.59"/>
  </r>
  <r>
    <x v="1"/>
    <x v="0"/>
    <s v="122 - Administração geral"/>
    <x v="390"/>
    <n v="55379116.18"/>
    <n v="54223626.630000003"/>
    <n v="37987460.390000001"/>
  </r>
  <r>
    <x v="1"/>
    <x v="12"/>
    <s v="125 - Normatização e fiscalização"/>
    <x v="391"/>
    <n v="8800820.2200000007"/>
    <n v="7862797.5700000003"/>
    <n v="7798072.6799999997"/>
  </r>
  <r>
    <x v="1"/>
    <x v="5"/>
    <s v="331 - Proteção e benefícios ao trabalhador"/>
    <x v="392"/>
    <n v="-2108295.59"/>
    <n v="2455028.29"/>
    <n v="0"/>
  </r>
  <r>
    <x v="1"/>
    <x v="0"/>
    <s v="331 - Proteção e benefícios ao trabalhador"/>
    <x v="393"/>
    <n v="242505653.24000001"/>
    <n v="214675530.12"/>
    <n v="0"/>
  </r>
  <r>
    <x v="1"/>
    <x v="9"/>
    <s v="092 - Representação judicial e extrajudicial"/>
    <x v="394"/>
    <n v="18900069.149999999"/>
    <n v="18184646.510000002"/>
    <n v="8954250.1699999999"/>
  </r>
  <r>
    <x v="1"/>
    <x v="0"/>
    <s v="306 - Alimentação e nutrição"/>
    <x v="395"/>
    <n v="368897850.38999999"/>
    <n v="368897850.38999999"/>
    <n v="1979871.77"/>
  </r>
  <r>
    <x v="1"/>
    <x v="20"/>
    <s v="363 - Ensino profissional"/>
    <x v="396"/>
    <n v="104936.7"/>
    <n v="60063.37"/>
    <n v="6999740.9800000004"/>
  </r>
  <r>
    <x v="1"/>
    <x v="22"/>
    <s v="846 - Outros encargos especiais"/>
    <x v="397"/>
    <n v="28852672.68"/>
    <n v="28852672.68"/>
    <n v="0"/>
  </r>
  <r>
    <x v="1"/>
    <x v="11"/>
    <s v="845 - Outras transferências"/>
    <x v="398"/>
    <n v="39304580290.639999"/>
    <n v="39281206579.720001"/>
    <n v="3458313022.48"/>
  </r>
  <r>
    <x v="1"/>
    <x v="23"/>
    <s v="541 - Preservação e conservação ambiental"/>
    <x v="399"/>
    <n v="4502616.41"/>
    <n v="1489034.77"/>
    <n v="6974215.46"/>
  </r>
  <r>
    <x v="1"/>
    <x v="20"/>
    <s v="151 - Defesa aérea"/>
    <x v="400"/>
    <n v="44791246.289999999"/>
    <n v="43612737.939999998"/>
    <n v="113983288.36"/>
  </r>
  <r>
    <x v="1"/>
    <x v="7"/>
    <s v="331 - Proteção e benefícios ao trabalhador"/>
    <x v="401"/>
    <n v="54047185.829999998"/>
    <n v="51613738.039999999"/>
    <n v="0"/>
  </r>
  <r>
    <x v="1"/>
    <x v="23"/>
    <s v="122 - Administração geral"/>
    <x v="402"/>
    <n v="82230742.409999996"/>
    <n v="80765857.439999998"/>
    <n v="12271205.630000001"/>
  </r>
  <r>
    <x v="1"/>
    <x v="8"/>
    <s v="122 - Administração geral"/>
    <x v="403"/>
    <n v="148749375.55000001"/>
    <n v="98282490.230000004"/>
    <n v="9922597.5199999996"/>
  </r>
  <r>
    <x v="1"/>
    <x v="10"/>
    <s v="272 - Previdência do regime estatutário"/>
    <x v="404"/>
    <n v="7693870652"/>
    <n v="7557931696.1499996"/>
    <n v="65003.68"/>
  </r>
  <r>
    <x v="1"/>
    <x v="3"/>
    <s v="571 - Desenvolvimento científico"/>
    <x v="405"/>
    <n v="33351133.43"/>
    <n v="33295465.010000002"/>
    <n v="60561368.049999997"/>
  </r>
  <r>
    <x v="1"/>
    <x v="12"/>
    <s v="127 - Ordenamento territorial"/>
    <x v="406"/>
    <n v="1780114.41"/>
    <n v="1440086.74"/>
    <n v="2046020.07"/>
  </r>
  <r>
    <x v="1"/>
    <x v="5"/>
    <s v="605 - Abastecimento"/>
    <x v="407"/>
    <n v="484805785.74000001"/>
    <n v="369171689.57999998"/>
    <n v="86691430.299999997"/>
  </r>
  <r>
    <x v="1"/>
    <x v="12"/>
    <s v="301 - Atenção básica"/>
    <x v="0"/>
    <n v="0"/>
    <n v="0"/>
    <n v="10848196.32"/>
  </r>
  <r>
    <x v="1"/>
    <x v="20"/>
    <s v="212 - Cooperação internacional"/>
    <x v="408"/>
    <n v="200250.95"/>
    <n v="161430.70000000001"/>
    <n v="1017994.66"/>
  </r>
  <r>
    <x v="1"/>
    <x v="26"/>
    <s v="782 - Transporte rodoviário"/>
    <x v="409"/>
    <n v="14221667.300000001"/>
    <n v="13767476.43"/>
    <n v="460972625.73000002"/>
  </r>
  <r>
    <x v="1"/>
    <x v="23"/>
    <s v="542 - Controle ambiental"/>
    <x v="410"/>
    <n v="1570081.61"/>
    <n v="1894307.5"/>
    <n v="3982797.46"/>
  </r>
  <r>
    <x v="1"/>
    <x v="21"/>
    <s v="122 - Administração geral"/>
    <x v="411"/>
    <n v="33192707.16"/>
    <n v="24210071.620000001"/>
    <n v="9150951.5999999996"/>
  </r>
  <r>
    <x v="1"/>
    <x v="16"/>
    <s v="122 - Administração geral"/>
    <x v="412"/>
    <n v="86866631.409999996"/>
    <n v="73013410.780000001"/>
    <n v="22407840.359999999"/>
  </r>
  <r>
    <x v="1"/>
    <x v="7"/>
    <s v="571 - Desenvolvimento científico"/>
    <x v="413"/>
    <n v="9518846.8699999992"/>
    <n v="5110908.62"/>
    <n v="37347725.289999999"/>
  </r>
  <r>
    <x v="1"/>
    <x v="0"/>
    <s v="128 - Formação de recursos humanos"/>
    <x v="414"/>
    <n v="519731.59"/>
    <n v="371791.27"/>
    <n v="2097077.66"/>
  </r>
  <r>
    <x v="1"/>
    <x v="1"/>
    <s v="182 - Defesa civil"/>
    <x v="415"/>
    <n v="35003425.270000003"/>
    <n v="35220512.130000003"/>
    <n v="30385310.109999999"/>
  </r>
  <r>
    <x v="1"/>
    <x v="7"/>
    <s v="301 - Atenção básica"/>
    <x v="416"/>
    <n v="2375465366.0599999"/>
    <n v="2379786011.0100002"/>
    <n v="7854834.1699999999"/>
  </r>
  <r>
    <x v="1"/>
    <x v="13"/>
    <s v="306 - Alimentação e nutrição"/>
    <x v="417"/>
    <n v="64674.31"/>
    <n v="64674.31"/>
    <n v="14270629.810000001"/>
  </r>
  <r>
    <x v="1"/>
    <x v="20"/>
    <s v="152 - Defesa naval"/>
    <x v="418"/>
    <n v="22756478.699999999"/>
    <n v="29948339.550000001"/>
    <n v="78652257.879999995"/>
  </r>
  <r>
    <x v="1"/>
    <x v="20"/>
    <s v="125 - Normatização e fiscalização"/>
    <x v="419"/>
    <n v="1271074.3500000001"/>
    <n v="506231.13"/>
    <n v="12517194.85"/>
  </r>
  <r>
    <x v="1"/>
    <x v="18"/>
    <s v="125 - Normatização e fiscalização"/>
    <x v="420"/>
    <n v="826224.06"/>
    <n v="794854.1"/>
    <n v="732390.74"/>
  </r>
  <r>
    <x v="1"/>
    <x v="19"/>
    <s v="453 - Transportes coletivos urbanos"/>
    <x v="421"/>
    <n v="8580339.1400000006"/>
    <n v="4787681.3099999996"/>
    <n v="22069312.329999998"/>
  </r>
  <r>
    <x v="1"/>
    <x v="11"/>
    <s v="846 - Outros encargos especiais"/>
    <x v="422"/>
    <n v="2109864523.77"/>
    <n v="2160596731.5999999"/>
    <n v="1244664401.53"/>
  </r>
  <r>
    <x v="1"/>
    <x v="5"/>
    <s v="691 - Promoção comercial"/>
    <x v="423"/>
    <n v="1172505.02"/>
    <n v="1418961.15"/>
    <n v="216318.25"/>
  </r>
  <r>
    <x v="1"/>
    <x v="20"/>
    <s v="128 - Formação de recursos humanos"/>
    <x v="424"/>
    <n v="985351.25"/>
    <n v="407146.56"/>
    <n v="8322788.5199999996"/>
  </r>
  <r>
    <x v="1"/>
    <x v="1"/>
    <s v="181 - Policiamento"/>
    <x v="425"/>
    <n v="96731357.609999999"/>
    <n v="55551778.920000002"/>
    <n v="88182524.359999999"/>
  </r>
  <r>
    <x v="1"/>
    <x v="1"/>
    <s v="122 - Administração geral"/>
    <x v="426"/>
    <n v="570702217.82000005"/>
    <n v="568829664.36000001"/>
    <n v="37977501.43"/>
  </r>
  <r>
    <x v="1"/>
    <x v="2"/>
    <s v="122 - Administração geral"/>
    <x v="427"/>
    <n v="138093339.47"/>
    <n v="137100119.06999999"/>
    <n v="16896578.510000002"/>
  </r>
  <r>
    <x v="1"/>
    <x v="5"/>
    <s v="572 - Desenvolvimento tecnológico e engenharia"/>
    <x v="428"/>
    <n v="7337575.0499999998"/>
    <n v="7355381.5499999998"/>
    <n v="18872016.870000001"/>
  </r>
  <r>
    <x v="1"/>
    <x v="20"/>
    <s v="153 - Defesa terrestre"/>
    <x v="429"/>
    <n v="2565175.64"/>
    <n v="2130323.4700000002"/>
    <n v="162860353.69999999"/>
  </r>
  <r>
    <x v="1"/>
    <x v="2"/>
    <s v="211 - Relações diplomáticas"/>
    <x v="430"/>
    <n v="75863079.969999999"/>
    <n v="75767401.370000005"/>
    <n v="5552164.1200000001"/>
  </r>
  <r>
    <x v="1"/>
    <x v="2"/>
    <s v="392 - Difusão cultural"/>
    <x v="431"/>
    <n v="2778575.21"/>
    <n v="2760205.73"/>
    <n v="663078.68000000005"/>
  </r>
  <r>
    <x v="1"/>
    <x v="22"/>
    <s v="122 - Administração geral"/>
    <x v="432"/>
    <n v="165355304.00999999"/>
    <n v="178218729.22999999"/>
    <n v="3045590.76"/>
  </r>
  <r>
    <x v="1"/>
    <x v="23"/>
    <s v="544 - Recursos hídricos"/>
    <x v="433"/>
    <n v="3008483.22"/>
    <n v="2547877.5499999998"/>
    <n v="59093750.850000001"/>
  </r>
  <r>
    <x v="1"/>
    <x v="3"/>
    <s v="122 - Administração geral"/>
    <x v="434"/>
    <n v="104921446.31"/>
    <n v="110783721.45"/>
    <n v="16967726.129999999"/>
  </r>
  <r>
    <x v="1"/>
    <x v="7"/>
    <s v="302 - Assistência hospitalar e ambulatorial"/>
    <x v="435"/>
    <n v="4587393523.0699997"/>
    <n v="4507748059.5200005"/>
    <n v="308103410.61000001"/>
  </r>
  <r>
    <x v="1"/>
    <x v="12"/>
    <s v="121 - Planejamento e orçamento"/>
    <x v="436"/>
    <n v="41389462.189999998"/>
    <n v="42661314.259999998"/>
    <n v="123665950.8"/>
  </r>
  <r>
    <x v="1"/>
    <x v="12"/>
    <s v="124 - Controle interno"/>
    <x v="437"/>
    <n v="2537143.15"/>
    <n v="2313000.0699999998"/>
    <n v="4405023.6900000004"/>
  </r>
  <r>
    <x v="1"/>
    <x v="0"/>
    <s v="302 - Assistência hospitalar e ambulatorial"/>
    <x v="438"/>
    <n v="836568859.08000004"/>
    <n v="782476806.44000006"/>
    <n v="70160231.859999999"/>
  </r>
  <r>
    <x v="1"/>
    <x v="22"/>
    <s v="331 - Proteção e benefícios ao trabalhador"/>
    <x v="439"/>
    <n v="7546980219.6800003"/>
    <n v="7546898666.1700001"/>
    <n v="85556738.590000004"/>
  </r>
  <r>
    <x v="1"/>
    <x v="20"/>
    <s v="301 - Atenção básica"/>
    <x v="0"/>
    <n v="0"/>
    <n v="0"/>
    <n v="295248464.00999999"/>
  </r>
  <r>
    <x v="1"/>
    <x v="20"/>
    <s v="331 - Proteção e benefícios ao trabalhador"/>
    <x v="440"/>
    <n v="354298665.23000002"/>
    <n v="338778202.82999998"/>
    <n v="36304799.890000001"/>
  </r>
  <r>
    <x v="1"/>
    <x v="0"/>
    <s v="368 - Educação básica"/>
    <x v="441"/>
    <n v="66522125.299999997"/>
    <n v="51851661.359999999"/>
    <n v="589790110.88"/>
  </r>
  <r>
    <x v="1"/>
    <x v="0"/>
    <s v="364 - Ensino superior"/>
    <x v="442"/>
    <n v="2591920839.29"/>
    <n v="2334163442.3499999"/>
    <n v="374238711.29000002"/>
  </r>
  <r>
    <x v="1"/>
    <x v="5"/>
    <s v="122 - Administração geral"/>
    <x v="443"/>
    <n v="291580116.13"/>
    <n v="355295019.81999999"/>
    <n v="11356771"/>
  </r>
  <r>
    <x v="1"/>
    <x v="7"/>
    <s v="122 - Administração geral"/>
    <x v="444"/>
    <n v="570830012.04999995"/>
    <n v="556543556.16999996"/>
    <n v="19497677.170000002"/>
  </r>
  <r>
    <x v="1"/>
    <x v="0"/>
    <s v="363 - Ensino profissional"/>
    <x v="445"/>
    <n v="949967904.78999996"/>
    <n v="882298194.74000001"/>
    <n v="133124793.78"/>
  </r>
  <r>
    <x v="1"/>
    <x v="14"/>
    <s v="122 - Administração geral"/>
    <x v="446"/>
    <n v="22610923.109999999"/>
    <n v="21798710.559999999"/>
    <n v="9495339.0199999996"/>
  </r>
  <r>
    <x v="1"/>
    <x v="12"/>
    <s v="122 - Administração geral"/>
    <x v="447"/>
    <n v="1461038593.6900001"/>
    <n v="1419280001.0999999"/>
    <n v="191660806.96000001"/>
  </r>
  <r>
    <x v="1"/>
    <x v="8"/>
    <s v="331 - Proteção e benefícios ao trabalhador"/>
    <x v="448"/>
    <n v="20034219.84"/>
    <n v="17465709.969999999"/>
    <n v="0"/>
  </r>
  <r>
    <x v="1"/>
    <x v="20"/>
    <s v="122 - Administração geral"/>
    <x v="449"/>
    <n v="5036702680.4200001"/>
    <n v="5069940552.7200003"/>
    <n v="97277495.319999993"/>
  </r>
  <r>
    <x v="2"/>
    <x v="9"/>
    <s v="032 - Controle externo"/>
    <x v="0"/>
    <n v="0"/>
    <n v="0"/>
    <n v="26200"/>
  </r>
  <r>
    <x v="2"/>
    <x v="21"/>
    <s v="813 - Lazer"/>
    <x v="0"/>
    <n v="0"/>
    <n v="0"/>
    <n v="883957.56"/>
  </r>
  <r>
    <x v="2"/>
    <x v="1"/>
    <s v="482 - Habitação urbana"/>
    <x v="450"/>
    <n v="1110941.44"/>
    <n v="1110941.44"/>
    <n v="0"/>
  </r>
  <r>
    <x v="2"/>
    <x v="13"/>
    <s v="605 - Abastecimento"/>
    <x v="0"/>
    <n v="0"/>
    <n v="0"/>
    <n v="0"/>
  </r>
  <r>
    <x v="2"/>
    <x v="9"/>
    <s v="126 - Tecnologia da informação"/>
    <x v="0"/>
    <n v="0"/>
    <n v="0"/>
    <n v="99510"/>
  </r>
  <r>
    <x v="2"/>
    <x v="23"/>
    <s v="301 - Atenção básica"/>
    <x v="0"/>
    <n v="0"/>
    <n v="0"/>
    <n v="0"/>
  </r>
  <r>
    <x v="2"/>
    <x v="3"/>
    <s v="121 - Planejamento e orçamento"/>
    <x v="0"/>
    <n v="0"/>
    <n v="0"/>
    <n v="0"/>
  </r>
  <r>
    <x v="2"/>
    <x v="23"/>
    <s v="573 - Difusão do conhecimento científico e tecnológico"/>
    <x v="0"/>
    <n v="12497.58"/>
    <n v="12497.58"/>
    <n v="30000"/>
  </r>
  <r>
    <x v="2"/>
    <x v="6"/>
    <s v="846 - Outros encargos especiais"/>
    <x v="451"/>
    <n v="-818115.71"/>
    <n v="-818115.71"/>
    <n v="0"/>
  </r>
  <r>
    <x v="2"/>
    <x v="4"/>
    <s v="846 - Outros encargos especiais"/>
    <x v="0"/>
    <n v="3935790.56"/>
    <n v="4113303.08"/>
    <n v="0"/>
  </r>
  <r>
    <x v="2"/>
    <x v="6"/>
    <s v="691 - Promoção comercial"/>
    <x v="452"/>
    <n v="0"/>
    <n v="0"/>
    <n v="0"/>
  </r>
  <r>
    <x v="2"/>
    <x v="7"/>
    <s v="306 - Alimentação e nutrição"/>
    <x v="453"/>
    <n v="4139.12"/>
    <n v="4139.12"/>
    <n v="183554"/>
  </r>
  <r>
    <x v="2"/>
    <x v="9"/>
    <s v="846 - Outros encargos especiais"/>
    <x v="0"/>
    <n v="24844192.98"/>
    <n v="24844192.98"/>
    <n v="0"/>
  </r>
  <r>
    <x v="2"/>
    <x v="3"/>
    <s v="126 - Tecnologia da informação"/>
    <x v="0"/>
    <n v="0"/>
    <n v="0"/>
    <n v="0"/>
  </r>
  <r>
    <x v="2"/>
    <x v="10"/>
    <s v="183 - Informação e inteligência"/>
    <x v="0"/>
    <n v="0"/>
    <n v="0"/>
    <n v="0"/>
  </r>
  <r>
    <x v="2"/>
    <x v="0"/>
    <s v="131 - Comunicação social"/>
    <x v="454"/>
    <n v="720337.97"/>
    <n v="712585.84"/>
    <n v="2378948.2999999998"/>
  </r>
  <r>
    <x v="2"/>
    <x v="26"/>
    <s v="452 - Serviços urbanos"/>
    <x v="0"/>
    <n v="0"/>
    <n v="0"/>
    <n v="0"/>
  </r>
  <r>
    <x v="2"/>
    <x v="2"/>
    <s v="301 - Atenção básica"/>
    <x v="0"/>
    <n v="0"/>
    <n v="0"/>
    <n v="0"/>
  </r>
  <r>
    <x v="2"/>
    <x v="18"/>
    <s v="301 - Atenção básica"/>
    <x v="0"/>
    <n v="0"/>
    <n v="0"/>
    <n v="9377.4"/>
  </r>
  <r>
    <x v="2"/>
    <x v="12"/>
    <s v="571 - Desenvolvimento científico"/>
    <x v="455"/>
    <n v="1636518.66"/>
    <n v="1636518.66"/>
    <n v="42748.68"/>
  </r>
  <r>
    <x v="2"/>
    <x v="14"/>
    <s v="241 - Assistência ao idoso"/>
    <x v="0"/>
    <n v="0"/>
    <n v="0"/>
    <n v="58150"/>
  </r>
  <r>
    <x v="2"/>
    <x v="13"/>
    <s v="126 - Tecnologia da informação"/>
    <x v="456"/>
    <n v="0"/>
    <n v="0"/>
    <n v="6890981.6699999999"/>
  </r>
  <r>
    <x v="2"/>
    <x v="4"/>
    <s v="753 - Combustíveis"/>
    <x v="457"/>
    <n v="34400"/>
    <n v="524488.99"/>
    <n v="0"/>
  </r>
  <r>
    <x v="2"/>
    <x v="5"/>
    <s v="846 - Outros encargos especiais"/>
    <x v="458"/>
    <n v="14590735.26"/>
    <n v="14590735.26"/>
    <n v="0"/>
  </r>
  <r>
    <x v="2"/>
    <x v="7"/>
    <s v="131 - Comunicação social"/>
    <x v="459"/>
    <n v="495309.95"/>
    <n v="0"/>
    <n v="34541689.119999997"/>
  </r>
  <r>
    <x v="2"/>
    <x v="7"/>
    <s v="422 - Direitos individuais, coletivos e difusos"/>
    <x v="460"/>
    <n v="685461.53"/>
    <n v="685716.56"/>
    <n v="359017"/>
  </r>
  <r>
    <x v="2"/>
    <x v="21"/>
    <s v="691 - Promoção comercial"/>
    <x v="0"/>
    <n v="0"/>
    <n v="0"/>
    <n v="52700000"/>
  </r>
  <r>
    <x v="2"/>
    <x v="22"/>
    <s v="128 - Formação de recursos humanos"/>
    <x v="0"/>
    <n v="0"/>
    <n v="0"/>
    <n v="0"/>
  </r>
  <r>
    <x v="2"/>
    <x v="9"/>
    <s v="062 - Defesa do interesse público no processo judiciário"/>
    <x v="0"/>
    <n v="16167.29"/>
    <n v="16167.29"/>
    <n v="29684.32"/>
  </r>
  <r>
    <x v="2"/>
    <x v="7"/>
    <s v="846 - Outros encargos especiais"/>
    <x v="0"/>
    <n v="74905228.200000003"/>
    <n v="74904396.359999999"/>
    <n v="23321.5"/>
  </r>
  <r>
    <x v="2"/>
    <x v="2"/>
    <s v="846 - Outros encargos especiais"/>
    <x v="461"/>
    <n v="10915687.5"/>
    <n v="10915687.5"/>
    <n v="0"/>
  </r>
  <r>
    <x v="2"/>
    <x v="26"/>
    <s v="128 - Formação de recursos humanos"/>
    <x v="462"/>
    <n v="0"/>
    <n v="0"/>
    <n v="0"/>
  </r>
  <r>
    <x v="2"/>
    <x v="14"/>
    <s v="421 - Custódia e reintegração social"/>
    <x v="0"/>
    <n v="0"/>
    <n v="0"/>
    <n v="0"/>
  </r>
  <r>
    <x v="2"/>
    <x v="4"/>
    <s v="130 - Administração de concessões"/>
    <x v="463"/>
    <n v="596132.80000000005"/>
    <n v="592299.19999999995"/>
    <n v="0"/>
  </r>
  <r>
    <x v="2"/>
    <x v="14"/>
    <s v="301 - Atenção básica"/>
    <x v="0"/>
    <n v="0"/>
    <n v="0"/>
    <n v="3348.94"/>
  </r>
  <r>
    <x v="2"/>
    <x v="3"/>
    <s v="542 - Controle ambiental"/>
    <x v="464"/>
    <n v="5645.71"/>
    <n v="4419.6000000000004"/>
    <n v="520515.74"/>
  </r>
  <r>
    <x v="2"/>
    <x v="11"/>
    <s v="844 - Serviço da dívida externa"/>
    <x v="465"/>
    <n v="1196636024.8900001"/>
    <n v="1196636024.8900001"/>
    <n v="0"/>
  </r>
  <r>
    <x v="2"/>
    <x v="5"/>
    <s v="541 - Preservação e conservação ambiental"/>
    <x v="466"/>
    <n v="409.71"/>
    <n v="409.71"/>
    <n v="1803000"/>
  </r>
  <r>
    <x v="2"/>
    <x v="20"/>
    <s v="573 - Difusão do conhecimento científico e tecnológico"/>
    <x v="467"/>
    <n v="0"/>
    <n v="0"/>
    <n v="8054"/>
  </r>
  <r>
    <x v="2"/>
    <x v="12"/>
    <s v="131 - Comunicação social"/>
    <x v="468"/>
    <n v="0"/>
    <n v="0"/>
    <n v="3558474.52"/>
  </r>
  <r>
    <x v="2"/>
    <x v="20"/>
    <s v="366 - Educação de jovens e adultos"/>
    <x v="469"/>
    <n v="7614.59"/>
    <n v="7614.59"/>
    <n v="56920.25"/>
  </r>
  <r>
    <x v="2"/>
    <x v="10"/>
    <s v="301 - Atenção básica"/>
    <x v="0"/>
    <n v="0"/>
    <n v="0"/>
    <n v="117957.23"/>
  </r>
  <r>
    <x v="2"/>
    <x v="12"/>
    <s v="211 - Relações diplomáticas"/>
    <x v="470"/>
    <n v="151663.45000000001"/>
    <n v="151663.45000000001"/>
    <n v="0"/>
  </r>
  <r>
    <x v="2"/>
    <x v="22"/>
    <s v="301 - Atenção básica"/>
    <x v="0"/>
    <n v="0"/>
    <n v="0"/>
    <n v="195686.73"/>
  </r>
  <r>
    <x v="2"/>
    <x v="1"/>
    <s v="846 - Outros encargos especiais"/>
    <x v="471"/>
    <n v="105457372.98"/>
    <n v="105467693.02"/>
    <n v="11924.12"/>
  </r>
  <r>
    <x v="2"/>
    <x v="16"/>
    <s v="664 - Propriedade industrial"/>
    <x v="472"/>
    <n v="696663.58"/>
    <n v="666844.46"/>
    <n v="772118.18"/>
  </r>
  <r>
    <x v="2"/>
    <x v="24"/>
    <s v="031 - Ação legislativa"/>
    <x v="473"/>
    <n v="138135.57"/>
    <n v="138135.57"/>
    <n v="2831.92"/>
  </r>
  <r>
    <x v="2"/>
    <x v="10"/>
    <s v="665 - Normalização e qualidade"/>
    <x v="0"/>
    <n v="0"/>
    <n v="0"/>
    <n v="77276.5"/>
  </r>
  <r>
    <x v="2"/>
    <x v="22"/>
    <s v="571 - Desenvolvimento científico"/>
    <x v="474"/>
    <n v="85236.5"/>
    <n v="86568.73"/>
    <n v="72362.44"/>
  </r>
  <r>
    <x v="2"/>
    <x v="23"/>
    <s v="846 - Outros encargos especiais"/>
    <x v="475"/>
    <n v="13346583.039999999"/>
    <n v="13395327.57"/>
    <n v="0"/>
  </r>
  <r>
    <x v="2"/>
    <x v="19"/>
    <s v="127 - Ordenamento territorial"/>
    <x v="0"/>
    <n v="0"/>
    <n v="0"/>
    <n v="0"/>
  </r>
  <r>
    <x v="2"/>
    <x v="1"/>
    <s v="128 - Formação de recursos humanos"/>
    <x v="0"/>
    <n v="0"/>
    <n v="0"/>
    <n v="0"/>
  </r>
  <r>
    <x v="2"/>
    <x v="16"/>
    <s v="333 - Empregabilidade"/>
    <x v="0"/>
    <n v="0"/>
    <n v="0"/>
    <n v="0"/>
  </r>
  <r>
    <x v="2"/>
    <x v="4"/>
    <s v="301 - Atenção básica"/>
    <x v="0"/>
    <n v="0"/>
    <n v="0"/>
    <n v="0"/>
  </r>
  <r>
    <x v="2"/>
    <x v="21"/>
    <s v="571 - Desenvolvimento científico"/>
    <x v="476"/>
    <n v="0"/>
    <n v="0"/>
    <n v="0"/>
  </r>
  <r>
    <x v="2"/>
    <x v="12"/>
    <s v="662 - Produção industrial"/>
    <x v="477"/>
    <n v="4247814.76"/>
    <n v="4049067.19"/>
    <n v="288012.79999999999"/>
  </r>
  <r>
    <x v="2"/>
    <x v="18"/>
    <s v="846 - Outros encargos especiais"/>
    <x v="478"/>
    <n v="3901005.8"/>
    <n v="7705434.9000000004"/>
    <n v="0"/>
  </r>
  <r>
    <x v="2"/>
    <x v="26"/>
    <s v="131 - Comunicação social"/>
    <x v="479"/>
    <n v="0"/>
    <n v="0"/>
    <n v="0"/>
  </r>
  <r>
    <x v="2"/>
    <x v="2"/>
    <s v="573 - Difusão do conhecimento científico e tecnológico"/>
    <x v="480"/>
    <n v="521096.63"/>
    <n v="404362.22"/>
    <n v="9932.09"/>
  </r>
  <r>
    <x v="2"/>
    <x v="7"/>
    <s v="121 - Planejamento e orçamento"/>
    <x v="481"/>
    <n v="5107296.26"/>
    <n v="5296103.72"/>
    <n v="1400000"/>
  </r>
  <r>
    <x v="2"/>
    <x v="1"/>
    <s v="301 - Atenção básica"/>
    <x v="0"/>
    <n v="0"/>
    <n v="0"/>
    <n v="330362.12"/>
  </r>
  <r>
    <x v="2"/>
    <x v="20"/>
    <s v="812 - Desporto comunitário"/>
    <x v="482"/>
    <n v="0"/>
    <n v="0"/>
    <n v="47256.32"/>
  </r>
  <r>
    <x v="2"/>
    <x v="3"/>
    <s v="128 - Formação de recursos humanos"/>
    <x v="483"/>
    <n v="239679.44"/>
    <n v="241179.44"/>
    <n v="69175.45"/>
  </r>
  <r>
    <x v="2"/>
    <x v="9"/>
    <s v="122 - Administração geral"/>
    <x v="484"/>
    <n v="284938.03000000003"/>
    <n v="296211.38"/>
    <n v="497.8"/>
  </r>
  <r>
    <x v="2"/>
    <x v="10"/>
    <s v="845 - Outras transferências"/>
    <x v="485"/>
    <n v="128722975.65000001"/>
    <n v="128338652.38"/>
    <n v="13307.84"/>
  </r>
  <r>
    <x v="2"/>
    <x v="6"/>
    <s v="331 - Proteção e benefícios ao trabalhador"/>
    <x v="486"/>
    <n v="-545465.21"/>
    <n v="-545465.21"/>
    <n v="0"/>
  </r>
  <r>
    <x v="2"/>
    <x v="5"/>
    <s v="363 - Ensino profissional"/>
    <x v="0"/>
    <n v="0"/>
    <n v="0"/>
    <n v="83377.649999999994"/>
  </r>
  <r>
    <x v="2"/>
    <x v="10"/>
    <s v="846 - Outros encargos especiais"/>
    <x v="487"/>
    <n v="42417192.82"/>
    <n v="42417192.82"/>
    <n v="0"/>
  </r>
  <r>
    <x v="2"/>
    <x v="17"/>
    <s v="451 - infra-estrutura urbana"/>
    <x v="0"/>
    <n v="0"/>
    <n v="0"/>
    <n v="80000"/>
  </r>
  <r>
    <x v="2"/>
    <x v="11"/>
    <s v="841 - Refinanciamento da dívida interna"/>
    <x v="488"/>
    <n v="213709734956.48001"/>
    <n v="213709734956.48001"/>
    <n v="0"/>
  </r>
  <r>
    <x v="2"/>
    <x v="2"/>
    <s v="128 - Formação de recursos humanos"/>
    <x v="489"/>
    <n v="88886.23"/>
    <n v="62243.48"/>
    <n v="300000"/>
  </r>
  <r>
    <x v="2"/>
    <x v="7"/>
    <s v="391 - Patrimônio histórico, artístico e arqueológico"/>
    <x v="490"/>
    <n v="502433.76"/>
    <n v="1075125.1599999999"/>
    <n v="882909.07"/>
  </r>
  <r>
    <x v="2"/>
    <x v="8"/>
    <s v="608 - Promoção da produção agropecuária"/>
    <x v="491"/>
    <n v="100507.41"/>
    <n v="100507.41"/>
    <n v="0"/>
  </r>
  <r>
    <x v="2"/>
    <x v="15"/>
    <s v="032 - Controle externo"/>
    <x v="0"/>
    <n v="0"/>
    <n v="0"/>
    <n v="15800"/>
  </r>
  <r>
    <x v="2"/>
    <x v="22"/>
    <s v="126 - Tecnologia da informação"/>
    <x v="0"/>
    <n v="0"/>
    <n v="0"/>
    <n v="938946.73"/>
  </r>
  <r>
    <x v="2"/>
    <x v="10"/>
    <s v="125 - Normatização e fiscalização"/>
    <x v="492"/>
    <n v="236829.62"/>
    <n v="320887.86"/>
    <n v="153947.72"/>
  </r>
  <r>
    <x v="2"/>
    <x v="5"/>
    <s v="606 - Extensão rural"/>
    <x v="0"/>
    <n v="0"/>
    <n v="0"/>
    <n v="4177775.69"/>
  </r>
  <r>
    <x v="2"/>
    <x v="22"/>
    <s v="123 - Administração financeira"/>
    <x v="0"/>
    <n v="0"/>
    <n v="0"/>
    <n v="0"/>
  </r>
  <r>
    <x v="2"/>
    <x v="22"/>
    <s v="333 - Empregabilidade"/>
    <x v="493"/>
    <n v="0"/>
    <n v="0"/>
    <n v="0"/>
  </r>
  <r>
    <x v="2"/>
    <x v="0"/>
    <s v="694 - Serviços financeiros"/>
    <x v="494"/>
    <n v="156318298.94999999"/>
    <n v="156318298.94999999"/>
    <n v="137522.54999999999"/>
  </r>
  <r>
    <x v="2"/>
    <x v="4"/>
    <s v="665 - Normalização e qualidade"/>
    <x v="495"/>
    <n v="76641.42"/>
    <n v="77377.279999999999"/>
    <n v="616447.43000000005"/>
  </r>
  <r>
    <x v="2"/>
    <x v="1"/>
    <s v="422 - Direitos individuais, coletivos e difusos"/>
    <x v="0"/>
    <n v="0"/>
    <n v="0"/>
    <n v="2127700.79"/>
  </r>
  <r>
    <x v="2"/>
    <x v="4"/>
    <s v="128 - Formação de recursos humanos"/>
    <x v="496"/>
    <n v="112833.56"/>
    <n v="103020.53"/>
    <n v="7725"/>
  </r>
  <r>
    <x v="2"/>
    <x v="24"/>
    <s v="032 - Controle externo"/>
    <x v="497"/>
    <n v="67907.990000000005"/>
    <n v="63162.7"/>
    <n v="0"/>
  </r>
  <r>
    <x v="2"/>
    <x v="25"/>
    <s v="512 - Saneamento básico urbano"/>
    <x v="498"/>
    <n v="45497.37"/>
    <n v="2193.8000000000002"/>
    <n v="1776795.07"/>
  </r>
  <r>
    <x v="2"/>
    <x v="23"/>
    <s v="695 - Turismo"/>
    <x v="0"/>
    <n v="0"/>
    <n v="0"/>
    <n v="289091.73"/>
  </r>
  <r>
    <x v="2"/>
    <x v="26"/>
    <s v="130 - Administração de concessões"/>
    <x v="499"/>
    <n v="41602.14"/>
    <n v="23101.54"/>
    <n v="130000"/>
  </r>
  <r>
    <x v="2"/>
    <x v="20"/>
    <s v="722 - Telecomunicações"/>
    <x v="0"/>
    <n v="4318.8999999999996"/>
    <n v="4318.8999999999996"/>
    <n v="1867321.38"/>
  </r>
  <r>
    <x v="2"/>
    <x v="6"/>
    <s v="301 - Atenção básica"/>
    <x v="0"/>
    <n v="0"/>
    <n v="0"/>
    <n v="2671.92"/>
  </r>
  <r>
    <x v="2"/>
    <x v="18"/>
    <s v="131 - Comunicação social"/>
    <x v="500"/>
    <n v="0"/>
    <n v="0"/>
    <n v="54993135.590000004"/>
  </r>
  <r>
    <x v="2"/>
    <x v="15"/>
    <s v="061 - Ação judiciária"/>
    <x v="501"/>
    <n v="117845.09"/>
    <n v="10019.459999999999"/>
    <n v="1386322.47"/>
  </r>
  <r>
    <x v="2"/>
    <x v="3"/>
    <s v="846 - Outros encargos especiais"/>
    <x v="502"/>
    <n v="13906530.699999999"/>
    <n v="13936843.18"/>
    <n v="0"/>
  </r>
  <r>
    <x v="2"/>
    <x v="18"/>
    <s v="422 - Direitos individuais, coletivos e difusos"/>
    <x v="503"/>
    <n v="646802.79"/>
    <n v="646802.79"/>
    <n v="0"/>
  </r>
  <r>
    <x v="2"/>
    <x v="16"/>
    <s v="608 - Promoção da produção agropecuária"/>
    <x v="0"/>
    <n v="0"/>
    <n v="0"/>
    <n v="0"/>
  </r>
  <r>
    <x v="2"/>
    <x v="4"/>
    <s v="121 - Planejamento e orçamento"/>
    <x v="504"/>
    <n v="51217.32"/>
    <n v="51890.37"/>
    <n v="509.31"/>
  </r>
  <r>
    <x v="2"/>
    <x v="16"/>
    <s v="571 - Desenvolvimento científico"/>
    <x v="505"/>
    <n v="0"/>
    <n v="0"/>
    <n v="0"/>
  </r>
  <r>
    <x v="2"/>
    <x v="3"/>
    <s v="691 - Promoção comercial"/>
    <x v="0"/>
    <n v="0"/>
    <n v="0"/>
    <n v="0"/>
  </r>
  <r>
    <x v="2"/>
    <x v="16"/>
    <s v="846 - Outros encargos especiais"/>
    <x v="506"/>
    <n v="7920796.0499999998"/>
    <n v="7916963.4500000002"/>
    <n v="0"/>
  </r>
  <r>
    <x v="2"/>
    <x v="10"/>
    <s v="124 - Controle interno"/>
    <x v="507"/>
    <n v="371704.07"/>
    <n v="347737.46"/>
    <n v="0"/>
  </r>
  <r>
    <x v="2"/>
    <x v="4"/>
    <s v="752 - Energia elétrica"/>
    <x v="508"/>
    <n v="3247134.47"/>
    <n v="3237986.54"/>
    <n v="911757.62"/>
  </r>
  <r>
    <x v="2"/>
    <x v="23"/>
    <s v="512 - Saneamento básico urbano"/>
    <x v="509"/>
    <n v="128892.51"/>
    <n v="128892.51"/>
    <n v="47739.040000000001"/>
  </r>
  <r>
    <x v="2"/>
    <x v="9"/>
    <s v="331 - Proteção e benefícios ao trabalhador"/>
    <x v="0"/>
    <n v="7680826.79"/>
    <n v="9999577"/>
    <n v="0"/>
  </r>
  <r>
    <x v="2"/>
    <x v="2"/>
    <s v="212 - Cooperação internacional"/>
    <x v="510"/>
    <n v="342165.98"/>
    <n v="342165.98"/>
    <n v="-615.51"/>
  </r>
  <r>
    <x v="2"/>
    <x v="22"/>
    <s v="334 - Fomento ao trabalho"/>
    <x v="511"/>
    <n v="1647664525.21"/>
    <n v="1647664525.21"/>
    <n v="25758.49"/>
  </r>
  <r>
    <x v="2"/>
    <x v="26"/>
    <s v="126 - Tecnologia da informação"/>
    <x v="512"/>
    <n v="7785220.71"/>
    <n v="5711578.8399999999"/>
    <n v="10278280.710000001"/>
  </r>
  <r>
    <x v="2"/>
    <x v="23"/>
    <s v="571 - Desenvolvimento científico"/>
    <x v="513"/>
    <n v="100117.07"/>
    <n v="59595.39"/>
    <n v="110603.55"/>
  </r>
  <r>
    <x v="2"/>
    <x v="26"/>
    <s v="846 - Outros encargos especiais"/>
    <x v="514"/>
    <n v="14551994.17"/>
    <n v="14560766.369999999"/>
    <n v="92.42"/>
  </r>
  <r>
    <x v="2"/>
    <x v="11"/>
    <s v="843 - Serviço da dívida interna"/>
    <x v="515"/>
    <n v="8465068242.9099998"/>
    <n v="8465068242.9099998"/>
    <n v="0"/>
  </r>
  <r>
    <x v="2"/>
    <x v="21"/>
    <s v="128 - Formação de recursos humanos"/>
    <x v="516"/>
    <n v="8637.59"/>
    <n v="7435.59"/>
    <n v="330.02"/>
  </r>
  <r>
    <x v="2"/>
    <x v="23"/>
    <s v="128 - Formação de recursos humanos"/>
    <x v="517"/>
    <n v="23634.21"/>
    <n v="23634.21"/>
    <n v="0"/>
  </r>
  <r>
    <x v="2"/>
    <x v="4"/>
    <s v="331 - Proteção e benefícios ao trabalhador"/>
    <x v="518"/>
    <n v="2042490.37"/>
    <n v="2130275.33"/>
    <n v="0"/>
  </r>
  <r>
    <x v="2"/>
    <x v="10"/>
    <s v="128 - Formação de recursos humanos"/>
    <x v="519"/>
    <n v="26606.18"/>
    <n v="26387.74"/>
    <n v="0"/>
  </r>
  <r>
    <x v="2"/>
    <x v="6"/>
    <s v="693 - Comércio exterior"/>
    <x v="520"/>
    <n v="6798361.6900000004"/>
    <n v="6787680.96"/>
    <n v="28836357.870000001"/>
  </r>
  <r>
    <x v="2"/>
    <x v="12"/>
    <s v="301 - Atenção básica"/>
    <x v="0"/>
    <n v="0"/>
    <n v="0"/>
    <n v="2116683.88"/>
  </r>
  <r>
    <x v="2"/>
    <x v="12"/>
    <s v="129 - Administração de receitas"/>
    <x v="282"/>
    <n v="844485.24"/>
    <n v="0"/>
    <n v="170"/>
  </r>
  <r>
    <x v="2"/>
    <x v="26"/>
    <s v="121 - Planejamento e orçamento"/>
    <x v="521"/>
    <n v="3333050.02"/>
    <n v="2398426.42"/>
    <n v="12573590.039999999"/>
  </r>
  <r>
    <x v="2"/>
    <x v="12"/>
    <s v="126 - Tecnologia da informação"/>
    <x v="522"/>
    <n v="12501819.640000001"/>
    <n v="12498122.300000001"/>
    <n v="250945495.06999999"/>
  </r>
  <r>
    <x v="2"/>
    <x v="14"/>
    <s v="846 - Outros encargos especiais"/>
    <x v="0"/>
    <n v="6169028.3399999999"/>
    <n v="6169028.3399999999"/>
    <n v="0"/>
  </r>
  <r>
    <x v="2"/>
    <x v="7"/>
    <s v="124 - Controle interno"/>
    <x v="0"/>
    <n v="0"/>
    <n v="0"/>
    <n v="0"/>
  </r>
  <r>
    <x v="2"/>
    <x v="19"/>
    <s v="846 - Outros encargos especiais"/>
    <x v="523"/>
    <n v="1858473"/>
    <n v="3607.48"/>
    <n v="0"/>
  </r>
  <r>
    <x v="2"/>
    <x v="12"/>
    <s v="608 - Promoção da produção agropecuária"/>
    <x v="0"/>
    <n v="0"/>
    <n v="0"/>
    <n v="0"/>
  </r>
  <r>
    <x v="2"/>
    <x v="17"/>
    <s v="482 - Habitação urbana"/>
    <x v="0"/>
    <n v="0"/>
    <n v="0"/>
    <n v="99171.98"/>
  </r>
  <r>
    <x v="2"/>
    <x v="12"/>
    <s v="123 - Administração financeira"/>
    <x v="524"/>
    <n v="373413.04"/>
    <n v="373413.04"/>
    <n v="61951.22"/>
  </r>
  <r>
    <x v="2"/>
    <x v="7"/>
    <s v="512 - Saneamento básico urbano"/>
    <x v="525"/>
    <n v="66492.52"/>
    <n v="63603.87"/>
    <n v="6920099.5700000003"/>
  </r>
  <r>
    <x v="2"/>
    <x v="13"/>
    <s v="125 - Normatização e fiscalização"/>
    <x v="526"/>
    <n v="206139.56"/>
    <n v="189146.13"/>
    <n v="1714.3"/>
  </r>
  <r>
    <x v="2"/>
    <x v="22"/>
    <s v="846 - Outros encargos especiais"/>
    <x v="1"/>
    <n v="29225189.84"/>
    <n v="29225189.84"/>
    <n v="0"/>
  </r>
  <r>
    <x v="2"/>
    <x v="4"/>
    <s v="751 - Conservação de energia"/>
    <x v="527"/>
    <n v="2313304.6800000002"/>
    <n v="2249207.85"/>
    <n v="638361.78"/>
  </r>
  <r>
    <x v="2"/>
    <x v="11"/>
    <s v="847 - Transferências para a educação básica"/>
    <x v="0"/>
    <n v="6305987668.5699997"/>
    <n v="6305987668.5699997"/>
    <n v="0"/>
  </r>
  <r>
    <x v="2"/>
    <x v="16"/>
    <s v="301 - Atenção básica"/>
    <x v="0"/>
    <n v="0"/>
    <n v="0"/>
    <n v="57021.07"/>
  </r>
  <r>
    <x v="2"/>
    <x v="8"/>
    <s v="127 - Ordenamento territorial"/>
    <x v="528"/>
    <n v="64344.97"/>
    <n v="63739.97"/>
    <n v="88156.62"/>
  </r>
  <r>
    <x v="2"/>
    <x v="8"/>
    <s v="422 - Direitos individuais, coletivos e difusos"/>
    <x v="529"/>
    <n v="14282.66"/>
    <n v="15061.77"/>
    <n v="287.17"/>
  </r>
  <r>
    <x v="2"/>
    <x v="13"/>
    <s v="511 - Saneamento básico rural"/>
    <x v="0"/>
    <n v="0"/>
    <n v="0"/>
    <n v="1677"/>
  </r>
  <r>
    <x v="2"/>
    <x v="3"/>
    <s v="331 - Proteção e benefícios ao trabalhador"/>
    <x v="530"/>
    <n v="8341242.6699999999"/>
    <n v="9314299.5800000001"/>
    <n v="0"/>
  </r>
  <r>
    <x v="2"/>
    <x v="12"/>
    <s v="573 - Difusão do conhecimento científico e tecnológico"/>
    <x v="531"/>
    <n v="0"/>
    <n v="0"/>
    <n v="216604.49"/>
  </r>
  <r>
    <x v="2"/>
    <x v="19"/>
    <s v="131 - Comunicação social"/>
    <x v="532"/>
    <n v="612"/>
    <n v="554.16999999999996"/>
    <n v="27048.35"/>
  </r>
  <r>
    <x v="2"/>
    <x v="0"/>
    <s v="847 - Transferências para a educação básica"/>
    <x v="0"/>
    <n v="2294494473.9099998"/>
    <n v="2294494473.9099998"/>
    <n v="0"/>
  </r>
  <r>
    <x v="2"/>
    <x v="8"/>
    <s v="846 - Outros encargos especiais"/>
    <x v="533"/>
    <n v="5740823.04"/>
    <n v="5740823.04"/>
    <n v="0"/>
  </r>
  <r>
    <x v="2"/>
    <x v="0"/>
    <s v="301 - Atenção básica"/>
    <x v="0"/>
    <n v="0"/>
    <n v="0"/>
    <n v="629136.23"/>
  </r>
  <r>
    <x v="2"/>
    <x v="5"/>
    <s v="609 - Defesa agropecuária"/>
    <x v="534"/>
    <n v="415669.36"/>
    <n v="457998.11"/>
    <n v="3488447.91"/>
  </r>
  <r>
    <x v="2"/>
    <x v="10"/>
    <s v="092 - Representação judicial e extrajudicial"/>
    <x v="535"/>
    <n v="2942238"/>
    <n v="2866394.47"/>
    <n v="61404.88"/>
  </r>
  <r>
    <x v="2"/>
    <x v="21"/>
    <s v="846 - Outros encargos especiais"/>
    <x v="536"/>
    <n v="5791787.0899999999"/>
    <n v="4966813.2699999996"/>
    <n v="0"/>
  </r>
  <r>
    <x v="2"/>
    <x v="20"/>
    <s v="126 - Tecnologia da informação"/>
    <x v="537"/>
    <n v="873252.01"/>
    <n v="609341.64"/>
    <n v="1957406.76"/>
  </r>
  <r>
    <x v="2"/>
    <x v="18"/>
    <s v="331 - Proteção e benefícios ao trabalhador"/>
    <x v="538"/>
    <n v="2580728.5099999998"/>
    <n v="2597276.96"/>
    <n v="0"/>
  </r>
  <r>
    <x v="2"/>
    <x v="0"/>
    <s v="123 - Administração financeira"/>
    <x v="539"/>
    <n v="2631833.67"/>
    <n v="2631833.67"/>
    <n v="0"/>
  </r>
  <r>
    <x v="2"/>
    <x v="22"/>
    <s v="331 - Proteção e benefícios ao trabalhador"/>
    <x v="540"/>
    <n v="7929284380.0500002"/>
    <n v="7934760740.3500004"/>
    <n v="22232836.600000001"/>
  </r>
  <r>
    <x v="2"/>
    <x v="7"/>
    <s v="304 - Vigilância sanitária"/>
    <x v="541"/>
    <n v="65099875.149999999"/>
    <n v="64071658.920000002"/>
    <n v="948516.56"/>
  </r>
  <r>
    <x v="2"/>
    <x v="10"/>
    <s v="126 - Tecnologia da informação"/>
    <x v="542"/>
    <n v="0"/>
    <n v="3454572.25"/>
    <n v="79910549.549999997"/>
  </r>
  <r>
    <x v="2"/>
    <x v="12"/>
    <s v="092 - Representação judicial e extrajudicial"/>
    <x v="543"/>
    <n v="7210078.9100000001"/>
    <n v="7413828.1399999997"/>
    <n v="14999804.73"/>
  </r>
  <r>
    <x v="2"/>
    <x v="19"/>
    <s v="301 - Atenção básica"/>
    <x v="0"/>
    <n v="0"/>
    <n v="0"/>
    <n v="4961890.0199999996"/>
  </r>
  <r>
    <x v="2"/>
    <x v="2"/>
    <s v="331 - Proteção e benefícios ao trabalhador"/>
    <x v="544"/>
    <n v="55275079.259999998"/>
    <n v="55259916.130000003"/>
    <n v="0"/>
  </r>
  <r>
    <x v="2"/>
    <x v="7"/>
    <s v="126 - Tecnologia da informação"/>
    <x v="545"/>
    <n v="8613787.5500000007"/>
    <n v="5690316.8099999996"/>
    <n v="16175485.16"/>
  </r>
  <r>
    <x v="2"/>
    <x v="0"/>
    <s v="366 - Educação de jovens e adultos"/>
    <x v="0"/>
    <n v="0"/>
    <n v="0"/>
    <n v="9823623.9800000004"/>
  </r>
  <r>
    <x v="2"/>
    <x v="13"/>
    <s v="243 - Assistência à criança e ao adolescente"/>
    <x v="546"/>
    <n v="33699060.109999999"/>
    <n v="33699060.109999999"/>
    <n v="36014821.399999999"/>
  </r>
  <r>
    <x v="2"/>
    <x v="5"/>
    <s v="607 - Irrigação"/>
    <x v="547"/>
    <n v="7242103.0300000003"/>
    <n v="239239.59"/>
    <n v="236152.36"/>
  </r>
  <r>
    <x v="2"/>
    <x v="7"/>
    <s v="125 - Normatização e fiscalização"/>
    <x v="548"/>
    <n v="1163410.28"/>
    <n v="1164265.98"/>
    <n v="9554.36"/>
  </r>
  <r>
    <x v="2"/>
    <x v="15"/>
    <s v="122 - Administração geral"/>
    <x v="549"/>
    <n v="108755.46"/>
    <n v="8755.4599999999991"/>
    <n v="333481.73"/>
  </r>
  <r>
    <x v="2"/>
    <x v="16"/>
    <s v="126 - Tecnologia da informação"/>
    <x v="550"/>
    <n v="2250607.58"/>
    <n v="1642571.88"/>
    <n v="478545.83"/>
  </r>
  <r>
    <x v="2"/>
    <x v="18"/>
    <s v="126 - Tecnologia da informação"/>
    <x v="0"/>
    <n v="0"/>
    <n v="0"/>
    <n v="500000"/>
  </r>
  <r>
    <x v="2"/>
    <x v="13"/>
    <s v="244 - Assistência comunitária"/>
    <x v="551"/>
    <n v="14318580848.370001"/>
    <n v="14320330499.26"/>
    <n v="72645302.739999995"/>
  </r>
  <r>
    <x v="2"/>
    <x v="16"/>
    <s v="665 - Normalização e qualidade"/>
    <x v="552"/>
    <n v="706698.45"/>
    <n v="707450.59"/>
    <n v="15929"/>
  </r>
  <r>
    <x v="2"/>
    <x v="26"/>
    <s v="781 - Transporte aéreo"/>
    <x v="553"/>
    <n v="437852.31"/>
    <n v="0"/>
    <n v="3509492"/>
  </r>
  <r>
    <x v="2"/>
    <x v="20"/>
    <s v="846 - Outros encargos especiais"/>
    <x v="554"/>
    <n v="18721689.09"/>
    <n v="18740217.41"/>
    <n v="0"/>
  </r>
  <r>
    <x v="2"/>
    <x v="8"/>
    <s v="363 - Ensino profissional"/>
    <x v="555"/>
    <n v="913546.55"/>
    <n v="8140.94"/>
    <n v="320017.03000000003"/>
  </r>
  <r>
    <x v="2"/>
    <x v="7"/>
    <s v="572 - Desenvolvimento tecnológico e engenharia"/>
    <x v="556"/>
    <n v="8319717.79"/>
    <n v="12192839.699999999"/>
    <n v="12883115.83"/>
  </r>
  <r>
    <x v="2"/>
    <x v="20"/>
    <s v="302 - Assistência hospitalar e ambulatorial"/>
    <x v="557"/>
    <n v="2523542.6800000002"/>
    <n v="2416286.5499999998"/>
    <n v="1638673.97"/>
  </r>
  <r>
    <x v="2"/>
    <x v="26"/>
    <s v="331 - Proteção e benefícios ao trabalhador"/>
    <x v="558"/>
    <n v="6934301.7800000003"/>
    <n v="6880641.5300000003"/>
    <n v="0"/>
  </r>
  <r>
    <x v="2"/>
    <x v="0"/>
    <s v="573 - Difusão do conhecimento científico e tecnológico"/>
    <x v="559"/>
    <n v="56112930.25"/>
    <n v="56081573.020000003"/>
    <n v="40050667.640000001"/>
  </r>
  <r>
    <x v="2"/>
    <x v="12"/>
    <s v="364 - Ensino superior"/>
    <x v="560"/>
    <n v="35840.339999999997"/>
    <n v="58632.66"/>
    <n v="3584.4"/>
  </r>
  <r>
    <x v="2"/>
    <x v="5"/>
    <s v="301 - Atenção básica"/>
    <x v="0"/>
    <n v="0"/>
    <n v="0"/>
    <n v="14412788.35"/>
  </r>
  <r>
    <x v="2"/>
    <x v="1"/>
    <s v="421 - Custódia e reintegração social"/>
    <x v="561"/>
    <n v="3523364.66"/>
    <n v="3496210.64"/>
    <n v="2764878.52"/>
  </r>
  <r>
    <x v="2"/>
    <x v="20"/>
    <s v="121 - Planejamento e orçamento"/>
    <x v="562"/>
    <n v="47387.67"/>
    <n v="66212.899999999994"/>
    <n v="124278.02"/>
  </r>
  <r>
    <x v="2"/>
    <x v="3"/>
    <s v="125 - Normatização e fiscalização"/>
    <x v="563"/>
    <n v="12557.85"/>
    <n v="12557.85"/>
    <n v="19953.419999999998"/>
  </r>
  <r>
    <x v="2"/>
    <x v="3"/>
    <s v="541 - Preservação e conservação ambiental"/>
    <x v="0"/>
    <n v="0"/>
    <n v="0"/>
    <n v="64649.42"/>
  </r>
  <r>
    <x v="2"/>
    <x v="26"/>
    <s v="301 - Atenção básica"/>
    <x v="0"/>
    <n v="0"/>
    <n v="0"/>
    <n v="-2138.83"/>
  </r>
  <r>
    <x v="2"/>
    <x v="19"/>
    <s v="128 - Formação de recursos humanos"/>
    <x v="564"/>
    <n v="0"/>
    <n v="0"/>
    <n v="87112.37"/>
  </r>
  <r>
    <x v="2"/>
    <x v="21"/>
    <s v="391 - Patrimônio histórico, artístico e arqueológico"/>
    <x v="565"/>
    <n v="68513.350000000006"/>
    <n v="98340.79"/>
    <n v="10788276.369999999"/>
  </r>
  <r>
    <x v="2"/>
    <x v="19"/>
    <s v="451 - infra-estrutura urbana"/>
    <x v="0"/>
    <n v="0"/>
    <n v="0"/>
    <n v="6172991.5999999996"/>
  </r>
  <r>
    <x v="2"/>
    <x v="23"/>
    <s v="543 - Recuperação de áreas degradadas"/>
    <x v="0"/>
    <n v="0"/>
    <n v="0"/>
    <n v="412733.48"/>
  </r>
  <r>
    <x v="2"/>
    <x v="12"/>
    <s v="128 - Formação de recursos humanos"/>
    <x v="566"/>
    <n v="55674.63"/>
    <n v="40202.61"/>
    <n v="280602.42"/>
  </r>
  <r>
    <x v="2"/>
    <x v="4"/>
    <s v="572 - Desenvolvimento tecnológico e engenharia"/>
    <x v="567"/>
    <n v="3558947.13"/>
    <n v="5381175.7699999996"/>
    <n v="611383.31000000006"/>
  </r>
  <r>
    <x v="2"/>
    <x v="12"/>
    <s v="722 - Telecomunicações"/>
    <x v="568"/>
    <n v="14991731.85"/>
    <n v="14025442.220000001"/>
    <n v="0"/>
  </r>
  <r>
    <x v="2"/>
    <x v="20"/>
    <s v="303 - Suporte profilático e terapêutico"/>
    <x v="569"/>
    <n v="0"/>
    <n v="0"/>
    <n v="1500"/>
  </r>
  <r>
    <x v="2"/>
    <x v="3"/>
    <s v="573 - Difusão do conhecimento científico e tecnológico"/>
    <x v="570"/>
    <n v="139298.13"/>
    <n v="133135.29999999999"/>
    <n v="4578367.93"/>
  </r>
  <r>
    <x v="2"/>
    <x v="20"/>
    <s v="781 - Transporte aéreo"/>
    <x v="36"/>
    <n v="272792"/>
    <n v="272792"/>
    <n v="1530124.34"/>
  </r>
  <r>
    <x v="2"/>
    <x v="12"/>
    <s v="846 - Outros encargos especiais"/>
    <x v="571"/>
    <n v="148483390.47"/>
    <n v="234748244.11000001"/>
    <n v="6282403.7599999998"/>
  </r>
  <r>
    <x v="2"/>
    <x v="5"/>
    <s v="545 - Meteorologia"/>
    <x v="572"/>
    <n v="635325.09"/>
    <n v="571225.93999999994"/>
    <n v="865334.56"/>
  </r>
  <r>
    <x v="2"/>
    <x v="16"/>
    <s v="661 - Promoção industrial"/>
    <x v="573"/>
    <n v="2994.9"/>
    <n v="1992.71"/>
    <n v="179671.9"/>
  </r>
  <r>
    <x v="2"/>
    <x v="20"/>
    <s v="811 - Desporto de rendimento"/>
    <x v="574"/>
    <n v="25634.46"/>
    <n v="25634.46"/>
    <n v="46598.04"/>
  </r>
  <r>
    <x v="2"/>
    <x v="27"/>
    <s v="811 - Desporto de rendimento"/>
    <x v="575"/>
    <n v="1876494.66"/>
    <n v="1867355.65"/>
    <n v="16336089.75"/>
  </r>
  <r>
    <x v="2"/>
    <x v="19"/>
    <s v="331 - Proteção e benefícios ao trabalhador"/>
    <x v="576"/>
    <n v="7982349.7999999998"/>
    <n v="3695137.56"/>
    <n v="0"/>
  </r>
  <r>
    <x v="2"/>
    <x v="8"/>
    <s v="631 - Reforma agrária"/>
    <x v="577"/>
    <n v="597945.78"/>
    <n v="599805.56999999995"/>
    <n v="11093852.890000001"/>
  </r>
  <r>
    <x v="2"/>
    <x v="23"/>
    <s v="542 - Controle ambiental"/>
    <x v="578"/>
    <n v="2722775.19"/>
    <n v="2873287.24"/>
    <n v="829776.4"/>
  </r>
  <r>
    <x v="2"/>
    <x v="19"/>
    <s v="244 - Assistência comunitária"/>
    <x v="0"/>
    <n v="0"/>
    <n v="0"/>
    <n v="86546246.230000004"/>
  </r>
  <r>
    <x v="2"/>
    <x v="3"/>
    <s v="301 - Atenção básica"/>
    <x v="0"/>
    <n v="0"/>
    <n v="0"/>
    <n v="422322.1"/>
  </r>
  <r>
    <x v="2"/>
    <x v="16"/>
    <s v="182 - Defesa civil"/>
    <x v="579"/>
    <n v="406382.57"/>
    <n v="341756.59"/>
    <n v="0"/>
  </r>
  <r>
    <x v="2"/>
    <x v="26"/>
    <s v="125 - Normatização e fiscalização"/>
    <x v="580"/>
    <n v="11095491.880000001"/>
    <n v="8158284.7999999998"/>
    <n v="2377495.37"/>
  </r>
  <r>
    <x v="2"/>
    <x v="6"/>
    <s v="122 - Administração geral"/>
    <x v="581"/>
    <n v="-6049037.4199999999"/>
    <n v="-6058909.0999999996"/>
    <n v="2286541.29"/>
  </r>
  <r>
    <x v="2"/>
    <x v="2"/>
    <s v="691 - Promoção comercial"/>
    <x v="582"/>
    <n v="1059377.77"/>
    <n v="1059377.77"/>
    <n v="75504.56"/>
  </r>
  <r>
    <x v="2"/>
    <x v="26"/>
    <s v="784 - Transporte hidroviário"/>
    <x v="583"/>
    <n v="6637081.5"/>
    <n v="6503171.4500000002"/>
    <n v="14086534.779999999"/>
  </r>
  <r>
    <x v="2"/>
    <x v="12"/>
    <s v="127 - Ordenamento territorial"/>
    <x v="584"/>
    <n v="3427835.45"/>
    <n v="3262367.44"/>
    <n v="1532099.75"/>
  </r>
  <r>
    <x v="2"/>
    <x v="12"/>
    <s v="391 - Patrimônio histórico, artístico e arqueológico"/>
    <x v="585"/>
    <n v="1670749.91"/>
    <n v="1567283.93"/>
    <n v="368277.18"/>
  </r>
  <r>
    <x v="2"/>
    <x v="20"/>
    <s v="333 - Empregabilidade"/>
    <x v="0"/>
    <n v="0"/>
    <n v="0"/>
    <n v="210883.38"/>
  </r>
  <r>
    <x v="2"/>
    <x v="22"/>
    <s v="125 - Normatização e fiscalização"/>
    <x v="586"/>
    <n v="1253462.78"/>
    <n v="1259496.73"/>
    <n v="613288.56999999995"/>
  </r>
  <r>
    <x v="2"/>
    <x v="5"/>
    <s v="573 - Difusão do conhecimento científico e tecnológico"/>
    <x v="587"/>
    <n v="12276"/>
    <n v="12276"/>
    <n v="696215.4"/>
  </r>
  <r>
    <x v="2"/>
    <x v="14"/>
    <s v="422 - Direitos individuais, coletivos e difusos"/>
    <x v="588"/>
    <n v="3517216.51"/>
    <n v="3239295.14"/>
    <n v="18263785.800000001"/>
  </r>
  <r>
    <x v="2"/>
    <x v="20"/>
    <s v="212 - Cooperação internacional"/>
    <x v="589"/>
    <n v="345148.62"/>
    <n v="383968.87"/>
    <n v="1343378.04"/>
  </r>
  <r>
    <x v="2"/>
    <x v="13"/>
    <s v="241 - Assistência ao idoso"/>
    <x v="590"/>
    <n v="3218578249.8400002"/>
    <n v="3188101168.8299999"/>
    <n v="0"/>
  </r>
  <r>
    <x v="2"/>
    <x v="6"/>
    <s v="695 - Turismo"/>
    <x v="591"/>
    <n v="126339.49"/>
    <n v="126339.49"/>
    <n v="91228118.590000004"/>
  </r>
  <r>
    <x v="2"/>
    <x v="7"/>
    <s v="511 - Saneamento básico rural"/>
    <x v="592"/>
    <n v="3682842.12"/>
    <n v="3274725.83"/>
    <n v="13451627.98"/>
  </r>
  <r>
    <x v="2"/>
    <x v="16"/>
    <s v="125 - Normatização e fiscalização"/>
    <x v="593"/>
    <n v="25272771.949999999"/>
    <n v="25177006.699999999"/>
    <n v="323381.2"/>
  </r>
  <r>
    <x v="2"/>
    <x v="21"/>
    <s v="392 - Difusão cultural"/>
    <x v="594"/>
    <n v="11359604.26"/>
    <n v="11240492.949999999"/>
    <n v="160203305.68000001"/>
  </r>
  <r>
    <x v="2"/>
    <x v="20"/>
    <s v="571 - Desenvolvimento científico"/>
    <x v="595"/>
    <n v="29872.09"/>
    <n v="39599.519999999997"/>
    <n v="51954"/>
  </r>
  <r>
    <x v="2"/>
    <x v="7"/>
    <s v="573 - Difusão do conhecimento científico e tecnológico"/>
    <x v="596"/>
    <n v="3144128.66"/>
    <n v="3087846.02"/>
    <n v="3731111.77"/>
  </r>
  <r>
    <x v="2"/>
    <x v="13"/>
    <s v="242 - Assistência ao portador de deficiência"/>
    <x v="597"/>
    <n v="3998004508.1999998"/>
    <n v="3929684077.4400001"/>
    <n v="0"/>
  </r>
  <r>
    <x v="2"/>
    <x v="7"/>
    <s v="541 - Preservação e conservação ambiental"/>
    <x v="598"/>
    <n v="22143.35"/>
    <n v="19291.93"/>
    <n v="0"/>
  </r>
  <r>
    <x v="2"/>
    <x v="10"/>
    <s v="331 - Proteção e benefícios ao trabalhador"/>
    <x v="599"/>
    <n v="36392289.979999997"/>
    <n v="30270808.870000001"/>
    <n v="0"/>
  </r>
  <r>
    <x v="2"/>
    <x v="5"/>
    <s v="608 - Promoção da produção agropecuária"/>
    <x v="600"/>
    <n v="336155968.30000001"/>
    <n v="335609998.91000003"/>
    <n v="88231715.709999993"/>
  </r>
  <r>
    <x v="2"/>
    <x v="16"/>
    <s v="128 - Formação de recursos humanos"/>
    <x v="601"/>
    <n v="187187.21"/>
    <n v="161830.12"/>
    <n v="2218.12"/>
  </r>
  <r>
    <x v="2"/>
    <x v="27"/>
    <s v="812 - Desporto comunitário"/>
    <x v="602"/>
    <n v="0"/>
    <n v="0"/>
    <n v="2039969.53"/>
  </r>
  <r>
    <x v="2"/>
    <x v="18"/>
    <s v="122 - Administração geral"/>
    <x v="603"/>
    <n v="21723711.109999999"/>
    <n v="25363496.920000002"/>
    <n v="13261872.720000001"/>
  </r>
  <r>
    <x v="2"/>
    <x v="23"/>
    <s v="125 - Normatização e fiscalização"/>
    <x v="604"/>
    <n v="16448848.41"/>
    <n v="18670054.989999998"/>
    <n v="3409352.71"/>
  </r>
  <r>
    <x v="2"/>
    <x v="20"/>
    <s v="244 - Assistência comunitária"/>
    <x v="605"/>
    <n v="160276.12"/>
    <n v="160276.12"/>
    <n v="86467715.120000005"/>
  </r>
  <r>
    <x v="2"/>
    <x v="0"/>
    <s v="122 - Administração geral"/>
    <x v="606"/>
    <n v="82273435.560000002"/>
    <n v="81580166.209999993"/>
    <n v="20716678.059999999"/>
  </r>
  <r>
    <x v="2"/>
    <x v="12"/>
    <s v="183 - Informação e inteligência"/>
    <x v="607"/>
    <n v="3994729.87"/>
    <n v="4005464.62"/>
    <n v="267813.06"/>
  </r>
  <r>
    <x v="2"/>
    <x v="3"/>
    <s v="662 - Produção industrial"/>
    <x v="608"/>
    <n v="5421468.7999999998"/>
    <n v="4114592.07"/>
    <n v="9589177.9199999999"/>
  </r>
  <r>
    <x v="2"/>
    <x v="10"/>
    <s v="122 - Administração geral"/>
    <x v="609"/>
    <n v="207068117.88"/>
    <n v="202634949.53"/>
    <n v="7612392.8899999997"/>
  </r>
  <r>
    <x v="2"/>
    <x v="0"/>
    <s v="846 - Outros encargos especiais"/>
    <x v="610"/>
    <n v="617889610.21000004"/>
    <n v="618026560.91999996"/>
    <n v="7110.46"/>
  </r>
  <r>
    <x v="2"/>
    <x v="26"/>
    <s v="783 - Transporte ferroviário"/>
    <x v="611"/>
    <n v="241127.7"/>
    <n v="220350.34"/>
    <n v="16028399.66"/>
  </r>
  <r>
    <x v="2"/>
    <x v="3"/>
    <s v="122 - Administração geral"/>
    <x v="612"/>
    <n v="117249275.95999999"/>
    <n v="114417309.04000001"/>
    <n v="18606921.77"/>
  </r>
  <r>
    <x v="2"/>
    <x v="20"/>
    <s v="364 - Ensino superior"/>
    <x v="613"/>
    <n v="282336.21999999997"/>
    <n v="291225.65000000002"/>
    <n v="1706933.66"/>
  </r>
  <r>
    <x v="2"/>
    <x v="7"/>
    <s v="423 - Assistência aos povos indígenas"/>
    <x v="614"/>
    <n v="222539502.18000001"/>
    <n v="215189281.28999999"/>
    <n v="9560160.2100000009"/>
  </r>
  <r>
    <x v="2"/>
    <x v="7"/>
    <s v="303 - Suporte profilático e terapêutico"/>
    <x v="615"/>
    <n v="1751140893.1500001"/>
    <n v="1374295797.46"/>
    <n v="755756500.11000001"/>
  </r>
  <r>
    <x v="2"/>
    <x v="8"/>
    <s v="122 - Administração geral"/>
    <x v="616"/>
    <n v="87250402.140000001"/>
    <n v="98604432.209999993"/>
    <n v="6971676.7199999997"/>
  </r>
  <r>
    <x v="2"/>
    <x v="14"/>
    <s v="331 - Proteção e benefícios ao trabalhador"/>
    <x v="617"/>
    <n v="1450236.22"/>
    <n v="1241904.05"/>
    <n v="0"/>
  </r>
  <r>
    <x v="2"/>
    <x v="4"/>
    <s v="122 - Administração geral"/>
    <x v="618"/>
    <n v="58333652.25"/>
    <n v="54482860.590000004"/>
    <n v="4404364.29"/>
  </r>
  <r>
    <x v="2"/>
    <x v="5"/>
    <s v="331 - Proteção e benefícios ao trabalhador"/>
    <x v="619"/>
    <n v="13095507.050000001"/>
    <n v="7290883.9100000001"/>
    <n v="0"/>
  </r>
  <r>
    <x v="2"/>
    <x v="1"/>
    <s v="331 - Proteção e benefícios ao trabalhador"/>
    <x v="620"/>
    <n v="29785452.559999999"/>
    <n v="29553876.059999999"/>
    <n v="0"/>
  </r>
  <r>
    <x v="2"/>
    <x v="26"/>
    <s v="782 - Transporte rodoviário"/>
    <x v="621"/>
    <n v="165262544.34"/>
    <n v="158060762.19999999"/>
    <n v="675638254.63999999"/>
  </r>
  <r>
    <x v="2"/>
    <x v="26"/>
    <s v="122 - Administração geral"/>
    <x v="622"/>
    <n v="144460514.61000001"/>
    <n v="135688914.83000001"/>
    <n v="26246001.66"/>
  </r>
  <r>
    <x v="2"/>
    <x v="13"/>
    <s v="122 - Administração geral"/>
    <x v="623"/>
    <n v="122317.75999999999"/>
    <n v="122317.75999999999"/>
    <n v="3190520.83"/>
  </r>
  <r>
    <x v="2"/>
    <x v="4"/>
    <s v="125 - Normatização e fiscalização"/>
    <x v="624"/>
    <n v="3422984.16"/>
    <n v="2751055.77"/>
    <n v="3690041.8"/>
  </r>
  <r>
    <x v="2"/>
    <x v="7"/>
    <s v="331 - Proteção e benefícios ao trabalhador"/>
    <x v="625"/>
    <n v="51506206.399999999"/>
    <n v="54403937.600000001"/>
    <n v="0"/>
  </r>
  <r>
    <x v="2"/>
    <x v="0"/>
    <s v="367 - Educação especial"/>
    <x v="626"/>
    <n v="2866598.04"/>
    <n v="2255201.31"/>
    <n v="1821028.68"/>
  </r>
  <r>
    <x v="2"/>
    <x v="7"/>
    <s v="128 - Formação de recursos humanos"/>
    <x v="627"/>
    <n v="131141462.20999999"/>
    <n v="128660478.2"/>
    <n v="10748325.42"/>
  </r>
  <r>
    <x v="2"/>
    <x v="12"/>
    <s v="331 - Proteção e benefícios ao trabalhador"/>
    <x v="628"/>
    <n v="72203136.870000005"/>
    <n v="72559099.140000001"/>
    <n v="0"/>
  </r>
  <r>
    <x v="2"/>
    <x v="3"/>
    <s v="572 - Desenvolvimento tecnológico e engenharia"/>
    <x v="629"/>
    <n v="82609814.180000007"/>
    <n v="77835941.769999996"/>
    <n v="19412324.199999999"/>
  </r>
  <r>
    <x v="2"/>
    <x v="12"/>
    <s v="125 - Normatização e fiscalização"/>
    <x v="630"/>
    <n v="18346536.199999999"/>
    <n v="17339033.030000001"/>
    <n v="38853969.170000002"/>
  </r>
  <r>
    <x v="2"/>
    <x v="5"/>
    <s v="605 - Abastecimento"/>
    <x v="631"/>
    <n v="236279468.93000001"/>
    <n v="356623358.72000003"/>
    <n v="402906495.75999999"/>
  </r>
  <r>
    <x v="2"/>
    <x v="20"/>
    <s v="183 - Informação e inteligência"/>
    <x v="632"/>
    <n v="399069.83"/>
    <n v="493102.75"/>
    <n v="247864.81"/>
  </r>
  <r>
    <x v="2"/>
    <x v="7"/>
    <s v="305 - Vigilância epidemiológica"/>
    <x v="633"/>
    <n v="1406582241.51"/>
    <n v="1268452352.4400001"/>
    <n v="737505001.89999998"/>
  </r>
  <r>
    <x v="2"/>
    <x v="3"/>
    <s v="212 - Cooperação internacional"/>
    <x v="634"/>
    <n v="49691.48"/>
    <n v="49691.48"/>
    <n v="108462.32"/>
  </r>
  <r>
    <x v="2"/>
    <x v="11"/>
    <s v="846 - Outros encargos especiais"/>
    <x v="635"/>
    <n v="1863434626.6600001"/>
    <n v="1819657451.76"/>
    <n v="5709068007.5"/>
  </r>
  <r>
    <x v="2"/>
    <x v="21"/>
    <s v="122 - Administração geral"/>
    <x v="636"/>
    <n v="53350471.119999997"/>
    <n v="52485959.149999999"/>
    <n v="12552957.220000001"/>
  </r>
  <r>
    <x v="2"/>
    <x v="0"/>
    <s v="365 - Educação infantil"/>
    <x v="637"/>
    <n v="69635788.469999999"/>
    <n v="69253822.730000004"/>
    <n v="88417101.209999993"/>
  </r>
  <r>
    <x v="2"/>
    <x v="23"/>
    <s v="541 - Preservação e conservação ambiental"/>
    <x v="638"/>
    <n v="9539329.4800000004"/>
    <n v="10130128.83"/>
    <n v="4496407.29"/>
  </r>
  <r>
    <x v="2"/>
    <x v="23"/>
    <s v="331 - Proteção e benefícios ao trabalhador"/>
    <x v="639"/>
    <n v="4215053.16"/>
    <n v="4136033.76"/>
    <n v="0"/>
  </r>
  <r>
    <x v="2"/>
    <x v="18"/>
    <s v="722 - Telecomunicações"/>
    <x v="640"/>
    <n v="12700516.65"/>
    <n v="6609257.9100000001"/>
    <n v="51110266.380000003"/>
  </r>
  <r>
    <x v="2"/>
    <x v="20"/>
    <s v="482 - Habitação urbana"/>
    <x v="641"/>
    <n v="10381012.609999999"/>
    <n v="10107590.34"/>
    <n v="17788317.289999999"/>
  </r>
  <r>
    <x v="2"/>
    <x v="16"/>
    <s v="544 - Recursos hídricos"/>
    <x v="642"/>
    <n v="369746.07"/>
    <n v="292693.12"/>
    <n v="126825.75"/>
  </r>
  <r>
    <x v="2"/>
    <x v="0"/>
    <s v="331 - Proteção e benefícios ao trabalhador"/>
    <x v="643"/>
    <n v="246937998.38999999"/>
    <n v="263997243.56"/>
    <n v="0"/>
  </r>
  <r>
    <x v="2"/>
    <x v="19"/>
    <s v="122 - Administração geral"/>
    <x v="644"/>
    <n v="61565962.390000001"/>
    <n v="51580197.960000001"/>
    <n v="126177.18"/>
  </r>
  <r>
    <x v="2"/>
    <x v="10"/>
    <s v="271 - Previdência básica"/>
    <x v="645"/>
    <n v="64841173484.050003"/>
    <n v="64625751660.519997"/>
    <n v="128748.63"/>
  </r>
  <r>
    <x v="2"/>
    <x v="20"/>
    <s v="151 - Defesa aérea"/>
    <x v="646"/>
    <n v="141781833.44"/>
    <n v="138526701.28"/>
    <n v="147909106.18000001"/>
  </r>
  <r>
    <x v="2"/>
    <x v="16"/>
    <s v="127 - Ordenamento territorial"/>
    <x v="647"/>
    <n v="182035.66"/>
    <n v="214035.57"/>
    <n v="252706.82"/>
  </r>
  <r>
    <x v="2"/>
    <x v="21"/>
    <s v="331 - Proteção e benefícios ao trabalhador"/>
    <x v="648"/>
    <n v="2859052.81"/>
    <n v="2892153.01"/>
    <n v="0"/>
  </r>
  <r>
    <x v="2"/>
    <x v="3"/>
    <s v="571 - Desenvolvimento científico"/>
    <x v="649"/>
    <n v="124579023.34999999"/>
    <n v="97161507.390000001"/>
    <n v="29305550.620000001"/>
  </r>
  <r>
    <x v="2"/>
    <x v="16"/>
    <s v="122 - Administração geral"/>
    <x v="650"/>
    <n v="102895309.84"/>
    <n v="107824096.73"/>
    <n v="3771534.75"/>
  </r>
  <r>
    <x v="2"/>
    <x v="16"/>
    <s v="663 - Mineração"/>
    <x v="651"/>
    <n v="2460492.83"/>
    <n v="1399595.8"/>
    <n v="805470.47"/>
  </r>
  <r>
    <x v="2"/>
    <x v="20"/>
    <s v="131 - Comunicação social"/>
    <x v="652"/>
    <n v="80734.23"/>
    <n v="96151.56"/>
    <n v="81488.81"/>
  </r>
  <r>
    <x v="2"/>
    <x v="5"/>
    <s v="122 - Administração geral"/>
    <x v="653"/>
    <n v="342954774.47000003"/>
    <n v="343121432.94"/>
    <n v="6310179.0999999996"/>
  </r>
  <r>
    <x v="2"/>
    <x v="0"/>
    <s v="306 - Alimentação e nutrição"/>
    <x v="654"/>
    <n v="564875444.13999999"/>
    <n v="564813160.50999999"/>
    <n v="3454001.18"/>
  </r>
  <r>
    <x v="2"/>
    <x v="20"/>
    <s v="125 - Normatização e fiscalização"/>
    <x v="655"/>
    <n v="3287425.95"/>
    <n v="3082371.93"/>
    <n v="12508857.609999999"/>
  </r>
  <r>
    <x v="2"/>
    <x v="20"/>
    <s v="542 - Controle ambiental"/>
    <x v="656"/>
    <n v="1884973.07"/>
    <n v="1694012.38"/>
    <n v="3345614.31"/>
  </r>
  <r>
    <x v="2"/>
    <x v="18"/>
    <s v="125 - Normatização e fiscalização"/>
    <x v="657"/>
    <n v="1347994.74"/>
    <n v="1355398.11"/>
    <n v="1601930.55"/>
  </r>
  <r>
    <x v="2"/>
    <x v="20"/>
    <s v="368 - Educação básica"/>
    <x v="658"/>
    <n v="681712.81"/>
    <n v="565628.52"/>
    <n v="906135.9"/>
  </r>
  <r>
    <x v="2"/>
    <x v="14"/>
    <s v="125 - Normatização e fiscalização"/>
    <x v="659"/>
    <n v="2485876.96"/>
    <n v="1494808.36"/>
    <n v="2018755.66"/>
  </r>
  <r>
    <x v="2"/>
    <x v="9"/>
    <s v="092 - Representação judicial e extrajudicial"/>
    <x v="660"/>
    <n v="30097845.940000001"/>
    <n v="28351676.41"/>
    <n v="4485409.4400000004"/>
  </r>
  <r>
    <x v="2"/>
    <x v="10"/>
    <s v="272 - Previdência do regime estatutário"/>
    <x v="661"/>
    <n v="7636653210.1300001"/>
    <n v="7701072051.6099997"/>
    <n v="154247.32999999999"/>
  </r>
  <r>
    <x v="2"/>
    <x v="14"/>
    <s v="122 - Administração geral"/>
    <x v="662"/>
    <n v="31294962.640000001"/>
    <n v="31366537.879999999"/>
    <n v="2117091.69"/>
  </r>
  <r>
    <x v="2"/>
    <x v="2"/>
    <s v="392 - Difusão cultural"/>
    <x v="663"/>
    <n v="5349410.62"/>
    <n v="5379957.46"/>
    <n v="1223473.24"/>
  </r>
  <r>
    <x v="2"/>
    <x v="7"/>
    <s v="571 - Desenvolvimento científico"/>
    <x v="664"/>
    <n v="41242902.009999998"/>
    <n v="31991002.079999998"/>
    <n v="81228566.879999995"/>
  </r>
  <r>
    <x v="2"/>
    <x v="16"/>
    <s v="331 - Proteção e benefícios ao trabalhador"/>
    <x v="665"/>
    <n v="5966847.6699999999"/>
    <n v="5912887.5099999998"/>
    <n v="0"/>
  </r>
  <r>
    <x v="2"/>
    <x v="20"/>
    <s v="363 - Ensino profissional"/>
    <x v="666"/>
    <n v="269425.09000000003"/>
    <n v="150118.85"/>
    <n v="2636244.31"/>
  </r>
  <r>
    <x v="2"/>
    <x v="0"/>
    <s v="128 - Formação de recursos humanos"/>
    <x v="667"/>
    <n v="1381893.68"/>
    <n v="1128424.74"/>
    <n v="1710406.25"/>
  </r>
  <r>
    <x v="2"/>
    <x v="23"/>
    <s v="122 - Administração geral"/>
    <x v="668"/>
    <n v="94583972.760000005"/>
    <n v="91744868.480000004"/>
    <n v="3043639"/>
  </r>
  <r>
    <x v="2"/>
    <x v="7"/>
    <s v="301 - Atenção básica"/>
    <x v="669"/>
    <n v="2278088523.02"/>
    <n v="2277881331.8099999"/>
    <n v="11290739.1"/>
  </r>
  <r>
    <x v="2"/>
    <x v="1"/>
    <s v="182 - Defesa civil"/>
    <x v="670"/>
    <n v="82740486.459999993"/>
    <n v="48078743.75"/>
    <n v="48029500.119999997"/>
  </r>
  <r>
    <x v="2"/>
    <x v="8"/>
    <s v="331 - Proteção e benefícios ao trabalhador"/>
    <x v="671"/>
    <n v="11552488.15"/>
    <n v="11574505.49"/>
    <n v="0"/>
  </r>
  <r>
    <x v="2"/>
    <x v="5"/>
    <s v="125 - Normatização e fiscalização"/>
    <x v="672"/>
    <n v="10906225.539999999"/>
    <n v="8996573.0099999998"/>
    <n v="4997591.7"/>
  </r>
  <r>
    <x v="2"/>
    <x v="14"/>
    <s v="423 - Assistência aos povos indígenas"/>
    <x v="673"/>
    <n v="723791.74"/>
    <n v="644609.68000000005"/>
    <n v="1420013.81"/>
  </r>
  <r>
    <x v="2"/>
    <x v="5"/>
    <s v="572 - Desenvolvimento tecnológico e engenharia"/>
    <x v="674"/>
    <n v="11507509.359999999"/>
    <n v="10407565.41"/>
    <n v="19547867.239999998"/>
  </r>
  <r>
    <x v="2"/>
    <x v="22"/>
    <s v="122 - Administração geral"/>
    <x v="675"/>
    <n v="174330718.13"/>
    <n v="172065267.31999999"/>
    <n v="1913382.73"/>
  </r>
  <r>
    <x v="2"/>
    <x v="12"/>
    <s v="124 - Controle interno"/>
    <x v="676"/>
    <n v="8335479.0099999998"/>
    <n v="7519295.5499999998"/>
    <n v="2978973.99"/>
  </r>
  <r>
    <x v="2"/>
    <x v="23"/>
    <s v="544 - Recursos hídricos"/>
    <x v="677"/>
    <n v="25742597.969999999"/>
    <n v="18068099.350000001"/>
    <n v="23984519.960000001"/>
  </r>
  <r>
    <x v="2"/>
    <x v="12"/>
    <s v="121 - Planejamento e orçamento"/>
    <x v="678"/>
    <n v="60204298.060000002"/>
    <n v="57583679.210000001"/>
    <n v="89772405.629999995"/>
  </r>
  <r>
    <x v="2"/>
    <x v="2"/>
    <s v="211 - Relações diplomáticas"/>
    <x v="679"/>
    <n v="76473973.239999995"/>
    <n v="76032172.030000001"/>
    <n v="6085359.8300000001"/>
  </r>
  <r>
    <x v="2"/>
    <x v="19"/>
    <s v="453 - Transportes coletivos urbanos"/>
    <x v="680"/>
    <n v="20189077.449999999"/>
    <n v="17648530.989999998"/>
    <n v="12880681.289999999"/>
  </r>
  <r>
    <x v="2"/>
    <x v="0"/>
    <s v="368 - Educação básica"/>
    <x v="681"/>
    <n v="253404717.72"/>
    <n v="251549452.19999999"/>
    <n v="232515456.50999999"/>
  </r>
  <r>
    <x v="2"/>
    <x v="5"/>
    <s v="691 - Promoção comercial"/>
    <x v="682"/>
    <n v="3188689.87"/>
    <n v="3352779.59"/>
    <n v="4735.59"/>
  </r>
  <r>
    <x v="2"/>
    <x v="20"/>
    <s v="153 - Defesa terrestre"/>
    <x v="683"/>
    <n v="18792530.890000001"/>
    <n v="14117297.890000001"/>
    <n v="136495935.09999999"/>
  </r>
  <r>
    <x v="2"/>
    <x v="13"/>
    <s v="306 - Alimentação e nutrição"/>
    <x v="0"/>
    <n v="0"/>
    <n v="0"/>
    <n v="10916061.289999999"/>
  </r>
  <r>
    <x v="2"/>
    <x v="20"/>
    <s v="128 - Formação de recursos humanos"/>
    <x v="684"/>
    <n v="2657108.5"/>
    <n v="3001575.8"/>
    <n v="7281950.1600000001"/>
  </r>
  <r>
    <x v="2"/>
    <x v="0"/>
    <s v="363 - Ensino profissional"/>
    <x v="685"/>
    <n v="963382488.80999994"/>
    <n v="1011726528.37"/>
    <n v="191001133.37"/>
  </r>
  <r>
    <x v="2"/>
    <x v="11"/>
    <s v="845 - Outras transferências"/>
    <x v="686"/>
    <n v="25697564453.759998"/>
    <n v="25698405827.09"/>
    <n v="1867604062.53"/>
  </r>
  <r>
    <x v="2"/>
    <x v="20"/>
    <s v="572 - Desenvolvimento tecnológico e engenharia"/>
    <x v="687"/>
    <n v="7111464.0099999998"/>
    <n v="6966555.4699999997"/>
    <n v="2951516.26"/>
  </r>
  <r>
    <x v="2"/>
    <x v="1"/>
    <s v="181 - Policiamento"/>
    <x v="688"/>
    <n v="94549215.489999995"/>
    <n v="82788949.109999999"/>
    <n v="96785493.569999993"/>
  </r>
  <r>
    <x v="2"/>
    <x v="2"/>
    <s v="122 - Administração geral"/>
    <x v="689"/>
    <n v="142829006.87"/>
    <n v="142340193.96000001"/>
    <n v="13056153.449999999"/>
  </r>
  <r>
    <x v="2"/>
    <x v="20"/>
    <s v="301 - Atenção básica"/>
    <x v="690"/>
    <n v="0"/>
    <n v="0"/>
    <n v="315298399.42000002"/>
  </r>
  <r>
    <x v="2"/>
    <x v="7"/>
    <s v="302 - Assistência hospitalar e ambulatorial"/>
    <x v="691"/>
    <n v="4950406655.8000002"/>
    <n v="4945161998.8299999"/>
    <n v="320501492.93000001"/>
  </r>
  <r>
    <x v="2"/>
    <x v="12"/>
    <s v="122 - Administração geral"/>
    <x v="692"/>
    <n v="1546977055.5699999"/>
    <n v="1627605735.8900001"/>
    <n v="96035932.269999996"/>
  </r>
  <r>
    <x v="2"/>
    <x v="0"/>
    <s v="302 - Assistência hospitalar e ambulatorial"/>
    <x v="693"/>
    <n v="846666704.71000004"/>
    <n v="916883130.13"/>
    <n v="96402843.950000003"/>
  </r>
  <r>
    <x v="2"/>
    <x v="0"/>
    <s v="364 - Ensino superior"/>
    <x v="694"/>
    <n v="2399663980.6599998"/>
    <n v="2671886137.6700001"/>
    <n v="393563634.45999998"/>
  </r>
  <r>
    <x v="2"/>
    <x v="20"/>
    <s v="152 - Defesa naval"/>
    <x v="695"/>
    <n v="64664042.240000002"/>
    <n v="100736502.39"/>
    <n v="70055239.299999997"/>
  </r>
  <r>
    <x v="2"/>
    <x v="1"/>
    <s v="122 - Administração geral"/>
    <x v="696"/>
    <n v="600999037.88"/>
    <n v="590419872.33000004"/>
    <n v="22475242.530000001"/>
  </r>
  <r>
    <x v="2"/>
    <x v="20"/>
    <s v="122 - Administração geral"/>
    <x v="697"/>
    <n v="5258790936.0600004"/>
    <n v="5080410189.0500002"/>
    <n v="102512046.88"/>
  </r>
  <r>
    <x v="2"/>
    <x v="20"/>
    <s v="331 - Proteção e benefícios ao trabalhador"/>
    <x v="698"/>
    <n v="500363232.23000002"/>
    <n v="479988159.58999997"/>
    <n v="46713430.509999998"/>
  </r>
  <r>
    <x v="2"/>
    <x v="7"/>
    <s v="122 - Administração geral"/>
    <x v="699"/>
    <n v="591073820.55999994"/>
    <n v="608540068.84000003"/>
    <n v="16205323.720000001"/>
  </r>
  <r>
    <x v="3"/>
    <x v="13"/>
    <s v="511 - Saneamento básico rural"/>
    <x v="0"/>
    <n v="0"/>
    <n v="0"/>
    <n v="1677"/>
  </r>
  <r>
    <x v="3"/>
    <x v="1"/>
    <s v="482 - Habitação urbana"/>
    <x v="700"/>
    <n v="473434.08"/>
    <n v="473434.08"/>
    <n v="0"/>
  </r>
  <r>
    <x v="3"/>
    <x v="13"/>
    <s v="243 - Assistência à criança e ao adolescente"/>
    <x v="701"/>
    <n v="33989753.689999998"/>
    <n v="33989753.689999998"/>
    <n v="0"/>
  </r>
  <r>
    <x v="3"/>
    <x v="26"/>
    <s v="301 - Atenção básica"/>
    <x v="0"/>
    <n v="0"/>
    <n v="0"/>
    <n v="-7740.95"/>
  </r>
  <r>
    <x v="3"/>
    <x v="3"/>
    <s v="121 - Planejamento e orçamento"/>
    <x v="0"/>
    <n v="0"/>
    <n v="0"/>
    <n v="1638738.94"/>
  </r>
  <r>
    <x v="3"/>
    <x v="8"/>
    <s v="846 - Outros encargos especiais"/>
    <x v="0"/>
    <n v="5739850.4000000004"/>
    <n v="5739850.4000000004"/>
    <n v="0"/>
  </r>
  <r>
    <x v="3"/>
    <x v="14"/>
    <s v="242 - Assistência ao portador de deficiência"/>
    <x v="0"/>
    <n v="0"/>
    <n v="0"/>
    <n v="144501.42000000001"/>
  </r>
  <r>
    <x v="3"/>
    <x v="7"/>
    <s v="422 - Direitos individuais, coletivos e difusos"/>
    <x v="0"/>
    <n v="71450.61"/>
    <n v="71450.61"/>
    <n v="0"/>
  </r>
  <r>
    <x v="3"/>
    <x v="4"/>
    <s v="754 - Biocombustíveis"/>
    <x v="0"/>
    <n v="0"/>
    <n v="0"/>
    <n v="0"/>
  </r>
  <r>
    <x v="3"/>
    <x v="8"/>
    <s v="301 - Atenção básica"/>
    <x v="0"/>
    <n v="0"/>
    <n v="0"/>
    <n v="27540.46"/>
  </r>
  <r>
    <x v="3"/>
    <x v="26"/>
    <s v="846 - Outros encargos especiais"/>
    <x v="0"/>
    <n v="14531666.68"/>
    <n v="14531666.68"/>
    <n v="0"/>
  </r>
  <r>
    <x v="3"/>
    <x v="4"/>
    <s v="846 - Outros encargos especiais"/>
    <x v="0"/>
    <n v="4124562.64"/>
    <n v="4131999.72"/>
    <n v="0"/>
  </r>
  <r>
    <x v="3"/>
    <x v="5"/>
    <s v="127 - Ordenamento territorial"/>
    <x v="0"/>
    <n v="0"/>
    <n v="0"/>
    <n v="250000"/>
  </r>
  <r>
    <x v="3"/>
    <x v="7"/>
    <s v="306 - Alimentação e nutrição"/>
    <x v="702"/>
    <n v="29965.85"/>
    <n v="29965.85"/>
    <n v="202344"/>
  </r>
  <r>
    <x v="3"/>
    <x v="9"/>
    <s v="301 - Atenção básica"/>
    <x v="0"/>
    <n v="0"/>
    <n v="0"/>
    <n v="5252.09"/>
  </r>
  <r>
    <x v="3"/>
    <x v="9"/>
    <s v="846 - Outros encargos especiais"/>
    <x v="0"/>
    <n v="24795434.440000001"/>
    <n v="24795434.440000001"/>
    <n v="0"/>
  </r>
  <r>
    <x v="3"/>
    <x v="26"/>
    <s v="131 - Comunicação social"/>
    <x v="703"/>
    <n v="0"/>
    <n v="0"/>
    <n v="0"/>
  </r>
  <r>
    <x v="3"/>
    <x v="2"/>
    <s v="846 - Outros encargos especiais"/>
    <x v="704"/>
    <n v="10933010.289999999"/>
    <n v="10933010.289999999"/>
    <n v="0"/>
  </r>
  <r>
    <x v="3"/>
    <x v="12"/>
    <s v="571 - Desenvolvimento científico"/>
    <x v="705"/>
    <n v="0"/>
    <n v="0"/>
    <n v="0"/>
  </r>
  <r>
    <x v="3"/>
    <x v="4"/>
    <s v="130 - Administração de concessões"/>
    <x v="706"/>
    <n v="2329712.27"/>
    <n v="2333545.87"/>
    <n v="0"/>
  </r>
  <r>
    <x v="3"/>
    <x v="3"/>
    <s v="126 - Tecnologia da informação"/>
    <x v="0"/>
    <n v="0"/>
    <n v="0"/>
    <n v="1025000"/>
  </r>
  <r>
    <x v="3"/>
    <x v="2"/>
    <s v="301 - Atenção básica"/>
    <x v="0"/>
    <n v="0"/>
    <n v="0"/>
    <n v="0"/>
  </r>
  <r>
    <x v="3"/>
    <x v="8"/>
    <s v="606 - Extensão rural"/>
    <x v="0"/>
    <n v="0"/>
    <n v="0"/>
    <n v="100000"/>
  </r>
  <r>
    <x v="3"/>
    <x v="13"/>
    <s v="126 - Tecnologia da informação"/>
    <x v="707"/>
    <n v="4235889.92"/>
    <n v="4235889.92"/>
    <n v="2796682.63"/>
  </r>
  <r>
    <x v="3"/>
    <x v="6"/>
    <s v="572 - Desenvolvimento tecnológico e engenharia"/>
    <x v="0"/>
    <n v="0"/>
    <n v="0"/>
    <n v="141436.03"/>
  </r>
  <r>
    <x v="3"/>
    <x v="4"/>
    <s v="753 - Combustíveis"/>
    <x v="708"/>
    <n v="0"/>
    <n v="0"/>
    <n v="0"/>
  </r>
  <r>
    <x v="3"/>
    <x v="5"/>
    <s v="846 - Outros encargos especiais"/>
    <x v="0"/>
    <n v="14431964.039999999"/>
    <n v="14431964.039999999"/>
    <n v="0"/>
  </r>
  <r>
    <x v="3"/>
    <x v="7"/>
    <s v="131 - Comunicação social"/>
    <x v="709"/>
    <n v="24384690.920000002"/>
    <n v="13133553.039999999"/>
    <n v="17743698.870000001"/>
  </r>
  <r>
    <x v="3"/>
    <x v="21"/>
    <s v="691 - Promoção comercial"/>
    <x v="0"/>
    <n v="0"/>
    <n v="0"/>
    <n v="380460844"/>
  </r>
  <r>
    <x v="3"/>
    <x v="22"/>
    <s v="126 - Tecnologia da informação"/>
    <x v="710"/>
    <n v="26500217.850000001"/>
    <n v="26500217.850000001"/>
    <n v="632267.06999999995"/>
  </r>
  <r>
    <x v="3"/>
    <x v="26"/>
    <s v="211 - Relações diplomáticas"/>
    <x v="711"/>
    <n v="93914.63"/>
    <n v="93914.63"/>
    <n v="0"/>
  </r>
  <r>
    <x v="3"/>
    <x v="7"/>
    <s v="846 - Outros encargos especiais"/>
    <x v="712"/>
    <n v="74523531.379999995"/>
    <n v="74524363.219999999"/>
    <n v="0"/>
  </r>
  <r>
    <x v="3"/>
    <x v="7"/>
    <s v="183 - Informação e inteligência"/>
    <x v="0"/>
    <n v="0"/>
    <n v="0"/>
    <n v="0"/>
  </r>
  <r>
    <x v="3"/>
    <x v="21"/>
    <s v="813 - Lazer"/>
    <x v="0"/>
    <n v="0"/>
    <n v="0"/>
    <n v="0"/>
  </r>
  <r>
    <x v="3"/>
    <x v="0"/>
    <s v="571 - Desenvolvimento científico"/>
    <x v="0"/>
    <n v="0"/>
    <n v="0"/>
    <n v="3000000"/>
  </r>
  <r>
    <x v="3"/>
    <x v="16"/>
    <s v="333 - Empregabilidade"/>
    <x v="0"/>
    <n v="0"/>
    <n v="0"/>
    <n v="408152.46"/>
  </r>
  <r>
    <x v="3"/>
    <x v="2"/>
    <s v="128 - Formação de recursos humanos"/>
    <x v="713"/>
    <n v="108006.52"/>
    <n v="115252.89"/>
    <n v="30000"/>
  </r>
  <r>
    <x v="3"/>
    <x v="9"/>
    <s v="062 - Defesa do interesse público no processo judiciário"/>
    <x v="714"/>
    <n v="102.4"/>
    <n v="102.4"/>
    <n v="768.47"/>
  </r>
  <r>
    <x v="3"/>
    <x v="4"/>
    <s v="211 - Relações diplomáticas"/>
    <x v="715"/>
    <n v="0"/>
    <n v="0"/>
    <n v="0"/>
  </r>
  <r>
    <x v="3"/>
    <x v="12"/>
    <s v="131 - Comunicação social"/>
    <x v="0"/>
    <n v="0"/>
    <n v="0"/>
    <n v="3067970.33"/>
  </r>
  <r>
    <x v="3"/>
    <x v="10"/>
    <s v="301 - Atenção básica"/>
    <x v="0"/>
    <n v="0"/>
    <n v="0"/>
    <n v="127370.61"/>
  </r>
  <r>
    <x v="3"/>
    <x v="20"/>
    <s v="366 - Educação de jovens e adultos"/>
    <x v="716"/>
    <n v="-503.08"/>
    <n v="-503.08"/>
    <n v="17344.5"/>
  </r>
  <r>
    <x v="3"/>
    <x v="23"/>
    <s v="543 - Recuperação de áreas degradadas"/>
    <x v="717"/>
    <n v="51844.23"/>
    <n v="47414.49"/>
    <n v="266312.23"/>
  </r>
  <r>
    <x v="3"/>
    <x v="4"/>
    <s v="751 - Conservação de energia"/>
    <x v="718"/>
    <n v="5119744.54"/>
    <n v="4526989.8899999997"/>
    <n v="145911.76"/>
  </r>
  <r>
    <x v="3"/>
    <x v="1"/>
    <s v="846 - Outros encargos especiais"/>
    <x v="0"/>
    <n v="105691777.13"/>
    <n v="105691777.13"/>
    <n v="44933.24"/>
  </r>
  <r>
    <x v="3"/>
    <x v="16"/>
    <s v="664 - Propriedade industrial"/>
    <x v="719"/>
    <n v="710517.74"/>
    <n v="726778.63"/>
    <n v="1074593.5900000001"/>
  </r>
  <r>
    <x v="3"/>
    <x v="3"/>
    <s v="542 - Controle ambiental"/>
    <x v="720"/>
    <n v="396433.89"/>
    <n v="396433.89"/>
    <n v="271300"/>
  </r>
  <r>
    <x v="3"/>
    <x v="19"/>
    <s v="127 - Ordenamento territorial"/>
    <x v="0"/>
    <n v="0"/>
    <n v="0"/>
    <n v="238856"/>
  </r>
  <r>
    <x v="3"/>
    <x v="23"/>
    <s v="846 - Outros encargos especiais"/>
    <x v="721"/>
    <n v="13442928.619999999"/>
    <n v="13441133.289999999"/>
    <n v="0"/>
  </r>
  <r>
    <x v="3"/>
    <x v="18"/>
    <s v="301 - Atenção básica"/>
    <x v="0"/>
    <n v="0"/>
    <n v="0"/>
    <n v="1408.83"/>
  </r>
  <r>
    <x v="3"/>
    <x v="21"/>
    <s v="846 - Outros encargos especiais"/>
    <x v="722"/>
    <n v="4392445.6100000003"/>
    <n v="3579684.75"/>
    <n v="0"/>
  </r>
  <r>
    <x v="3"/>
    <x v="5"/>
    <s v="131 - Comunicação social"/>
    <x v="0"/>
    <n v="0"/>
    <n v="0"/>
    <n v="422.06"/>
  </r>
  <r>
    <x v="3"/>
    <x v="0"/>
    <s v="131 - Comunicação social"/>
    <x v="723"/>
    <n v="34940.559999999998"/>
    <n v="37237.58"/>
    <n v="591886.14"/>
  </r>
  <r>
    <x v="3"/>
    <x v="22"/>
    <s v="334 - Fomento ao trabalho"/>
    <x v="724"/>
    <n v="1760085554.73"/>
    <n v="1760085554.73"/>
    <n v="10884.76"/>
  </r>
  <r>
    <x v="3"/>
    <x v="23"/>
    <s v="573 - Difusão do conhecimento científico e tecnológico"/>
    <x v="725"/>
    <n v="13789.17"/>
    <n v="13789.17"/>
    <n v="5500"/>
  </r>
  <r>
    <x v="3"/>
    <x v="21"/>
    <s v="571 - Desenvolvimento científico"/>
    <x v="0"/>
    <n v="8500587"/>
    <n v="8500587"/>
    <n v="0"/>
  </r>
  <r>
    <x v="3"/>
    <x v="12"/>
    <s v="662 - Produção industrial"/>
    <x v="726"/>
    <n v="2204546.83"/>
    <n v="2390822.44"/>
    <n v="5819.81"/>
  </r>
  <r>
    <x v="3"/>
    <x v="26"/>
    <s v="128 - Formação de recursos humanos"/>
    <x v="0"/>
    <n v="0"/>
    <n v="0"/>
    <n v="27694.48"/>
  </r>
  <r>
    <x v="3"/>
    <x v="1"/>
    <s v="301 - Atenção básica"/>
    <x v="0"/>
    <n v="0"/>
    <n v="0"/>
    <n v="685531.78"/>
  </r>
  <r>
    <x v="3"/>
    <x v="3"/>
    <s v="125 - Normatização e fiscalização"/>
    <x v="727"/>
    <n v="17707.099999999999"/>
    <n v="17707.099999999999"/>
    <n v="14611.22"/>
  </r>
  <r>
    <x v="3"/>
    <x v="18"/>
    <s v="846 - Outros encargos especiais"/>
    <x v="728"/>
    <n v="3925403.32"/>
    <n v="3925403.32"/>
    <n v="0"/>
  </r>
  <r>
    <x v="3"/>
    <x v="5"/>
    <s v="606 - Extensão rural"/>
    <x v="0"/>
    <n v="0"/>
    <n v="0"/>
    <n v="2736539.18"/>
  </r>
  <r>
    <x v="3"/>
    <x v="2"/>
    <s v="573 - Difusão do conhecimento científico e tecnológico"/>
    <x v="729"/>
    <n v="378152.93"/>
    <n v="482055.82"/>
    <n v="0"/>
  </r>
  <r>
    <x v="3"/>
    <x v="8"/>
    <s v="608 - Promoção da produção agropecuária"/>
    <x v="730"/>
    <n v="230505.93"/>
    <n v="505.93"/>
    <n v="0"/>
  </r>
  <r>
    <x v="3"/>
    <x v="21"/>
    <s v="125 - Normatização e fiscalização"/>
    <x v="731"/>
    <n v="0"/>
    <n v="0"/>
    <n v="0"/>
  </r>
  <r>
    <x v="3"/>
    <x v="13"/>
    <s v="241 - Assistência ao idoso"/>
    <x v="732"/>
    <n v="3211514032.1300001"/>
    <n v="3215292190.8800001"/>
    <n v="0"/>
  </r>
  <r>
    <x v="3"/>
    <x v="10"/>
    <s v="845 - Outras transferências"/>
    <x v="733"/>
    <n v="128858888.98999999"/>
    <n v="128741217.75"/>
    <n v="0"/>
  </r>
  <r>
    <x v="3"/>
    <x v="3"/>
    <s v="128 - Formação de recursos humanos"/>
    <x v="734"/>
    <n v="593561.64"/>
    <n v="593561.64"/>
    <n v="260.44"/>
  </r>
  <r>
    <x v="3"/>
    <x v="9"/>
    <s v="122 - Administração geral"/>
    <x v="735"/>
    <n v="146712.16"/>
    <n v="147469.56"/>
    <n v="0"/>
  </r>
  <r>
    <x v="3"/>
    <x v="20"/>
    <s v="812 - Desporto comunitário"/>
    <x v="736"/>
    <n v="0"/>
    <n v="0"/>
    <n v="510162.5"/>
  </r>
  <r>
    <x v="3"/>
    <x v="4"/>
    <s v="301 - Atenção básica"/>
    <x v="0"/>
    <n v="0"/>
    <n v="0"/>
    <n v="0"/>
  </r>
  <r>
    <x v="3"/>
    <x v="6"/>
    <s v="693 - Comércio exterior"/>
    <x v="737"/>
    <n v="15170606.189999999"/>
    <n v="15177112.43"/>
    <n v="15583472.380000001"/>
  </r>
  <r>
    <x v="3"/>
    <x v="20"/>
    <s v="131 - Comunicação social"/>
    <x v="738"/>
    <n v="58221.72"/>
    <n v="54627.17"/>
    <n v="7240.22"/>
  </r>
  <r>
    <x v="3"/>
    <x v="5"/>
    <s v="363 - Ensino profissional"/>
    <x v="0"/>
    <n v="0"/>
    <n v="0"/>
    <n v="12800"/>
  </r>
  <r>
    <x v="3"/>
    <x v="10"/>
    <s v="846 - Outros encargos especiais"/>
    <x v="739"/>
    <n v="70911238.480000004"/>
    <n v="70911238.480000004"/>
    <n v="0"/>
  </r>
  <r>
    <x v="3"/>
    <x v="19"/>
    <s v="131 - Comunicação social"/>
    <x v="711"/>
    <n v="0"/>
    <n v="57.83"/>
    <n v="15300"/>
  </r>
  <r>
    <x v="3"/>
    <x v="14"/>
    <s v="211 - Relações diplomáticas"/>
    <x v="740"/>
    <n v="0"/>
    <n v="0"/>
    <n v="0"/>
  </r>
  <r>
    <x v="3"/>
    <x v="11"/>
    <s v="841 - Refinanciamento da dívida interna"/>
    <x v="741"/>
    <n v="46435676838.559998"/>
    <n v="46435676838.559998"/>
    <n v="0"/>
  </r>
  <r>
    <x v="3"/>
    <x v="17"/>
    <s v="482 - Habitação urbana"/>
    <x v="0"/>
    <n v="0"/>
    <n v="0"/>
    <n v="0"/>
  </r>
  <r>
    <x v="3"/>
    <x v="7"/>
    <s v="391 - Patrimônio histórico, artístico e arqueológico"/>
    <x v="742"/>
    <n v="296681.49"/>
    <n v="556286.68000000005"/>
    <n v="1231058.1100000001"/>
  </r>
  <r>
    <x v="3"/>
    <x v="13"/>
    <s v="122 - Administração geral"/>
    <x v="0"/>
    <n v="2938466.24"/>
    <n v="2938466.24"/>
    <n v="2702371.12"/>
  </r>
  <r>
    <x v="3"/>
    <x v="4"/>
    <s v="665 - Normalização e qualidade"/>
    <x v="743"/>
    <n v="45879.78"/>
    <n v="45879.78"/>
    <n v="114912"/>
  </r>
  <r>
    <x v="3"/>
    <x v="24"/>
    <s v="032 - Controle externo"/>
    <x v="744"/>
    <n v="51777.87"/>
    <n v="56598.58"/>
    <n v="2800"/>
  </r>
  <r>
    <x v="3"/>
    <x v="4"/>
    <s v="128 - Formação de recursos humanos"/>
    <x v="745"/>
    <n v="131652.88"/>
    <n v="133812.35"/>
    <n v="12000"/>
  </r>
  <r>
    <x v="3"/>
    <x v="23"/>
    <s v="695 - Turismo"/>
    <x v="0"/>
    <n v="0"/>
    <n v="0"/>
    <n v="56762.21"/>
  </r>
  <r>
    <x v="3"/>
    <x v="25"/>
    <s v="512 - Saneamento básico urbano"/>
    <x v="746"/>
    <n v="8935.82"/>
    <n v="44196.46"/>
    <n v="17698455.219999999"/>
  </r>
  <r>
    <x v="3"/>
    <x v="26"/>
    <s v="130 - Administração de concessões"/>
    <x v="747"/>
    <n v="58114.23"/>
    <n v="76614.83"/>
    <n v="0"/>
  </r>
  <r>
    <x v="3"/>
    <x v="16"/>
    <s v="661 - Promoção industrial"/>
    <x v="748"/>
    <n v="5368.3"/>
    <n v="5929.27"/>
    <n v="930368.33"/>
  </r>
  <r>
    <x v="3"/>
    <x v="17"/>
    <s v="451 - infra-estrutura urbana"/>
    <x v="0"/>
    <n v="0"/>
    <n v="0"/>
    <n v="0"/>
  </r>
  <r>
    <x v="3"/>
    <x v="3"/>
    <s v="541 - Preservação e conservação ambiental"/>
    <x v="59"/>
    <n v="38498.68"/>
    <n v="38498.68"/>
    <n v="31540"/>
  </r>
  <r>
    <x v="3"/>
    <x v="10"/>
    <s v="092 - Representação judicial e extrajudicial"/>
    <x v="749"/>
    <n v="5173961.8099999996"/>
    <n v="5271363.17"/>
    <n v="0"/>
  </r>
  <r>
    <x v="3"/>
    <x v="10"/>
    <s v="665 - Normalização e qualidade"/>
    <x v="0"/>
    <n v="0"/>
    <n v="0"/>
    <n v="13763.01"/>
  </r>
  <r>
    <x v="3"/>
    <x v="3"/>
    <s v="846 - Outros encargos especiais"/>
    <x v="750"/>
    <n v="13907640.98"/>
    <n v="13905649.07"/>
    <n v="0"/>
  </r>
  <r>
    <x v="3"/>
    <x v="12"/>
    <s v="301 - Atenção básica"/>
    <x v="0"/>
    <n v="0"/>
    <n v="0"/>
    <n v="2319963.42"/>
  </r>
  <r>
    <x v="3"/>
    <x v="10"/>
    <s v="126 - Tecnologia da informação"/>
    <x v="751"/>
    <n v="25823123.789999999"/>
    <n v="25823123.789999999"/>
    <n v="24433334.460000001"/>
  </r>
  <r>
    <x v="3"/>
    <x v="3"/>
    <s v="212 - Cooperação internacional"/>
    <x v="752"/>
    <n v="18907.3"/>
    <n v="18907.3"/>
    <n v="7421.64"/>
  </r>
  <r>
    <x v="3"/>
    <x v="18"/>
    <s v="422 - Direitos individuais, coletivos e difusos"/>
    <x v="753"/>
    <n v="552282.21"/>
    <n v="552282.21"/>
    <n v="0"/>
  </r>
  <r>
    <x v="3"/>
    <x v="5"/>
    <s v="545 - Meteorologia"/>
    <x v="754"/>
    <n v="478501.49"/>
    <n v="540788.39"/>
    <n v="78183.56"/>
  </r>
  <r>
    <x v="3"/>
    <x v="4"/>
    <s v="121 - Planejamento e orçamento"/>
    <x v="755"/>
    <n v="88091.58"/>
    <n v="100383.36"/>
    <n v="0"/>
  </r>
  <r>
    <x v="3"/>
    <x v="6"/>
    <s v="691 - Promoção comercial"/>
    <x v="0"/>
    <n v="0"/>
    <n v="0"/>
    <n v="3403483.52"/>
  </r>
  <r>
    <x v="3"/>
    <x v="16"/>
    <s v="846 - Outros encargos especiais"/>
    <x v="756"/>
    <n v="7976525.7800000003"/>
    <n v="7971458.0899999999"/>
    <n v="0"/>
  </r>
  <r>
    <x v="3"/>
    <x v="20"/>
    <s v="302 - Assistência hospitalar e ambulatorial"/>
    <x v="757"/>
    <n v="3007590.15"/>
    <n v="2905303.14"/>
    <n v="1102879.1399999999"/>
  </r>
  <r>
    <x v="3"/>
    <x v="7"/>
    <s v="121 - Planejamento e orçamento"/>
    <x v="758"/>
    <n v="780752.79"/>
    <n v="5885395.3300000001"/>
    <n v="2313291.06"/>
  </r>
  <r>
    <x v="3"/>
    <x v="23"/>
    <s v="331 - Proteção e benefícios ao trabalhador"/>
    <x v="759"/>
    <n v="5266258.17"/>
    <n v="4232140.93"/>
    <n v="0"/>
  </r>
  <r>
    <x v="3"/>
    <x v="13"/>
    <s v="331 - Proteção e benefícios ao trabalhador"/>
    <x v="0"/>
    <n v="0"/>
    <n v="0"/>
    <n v="12313"/>
  </r>
  <r>
    <x v="3"/>
    <x v="4"/>
    <s v="752 - Energia elétrica"/>
    <x v="760"/>
    <n v="1545743.83"/>
    <n v="1505058.94"/>
    <n v="5875.5"/>
  </r>
  <r>
    <x v="3"/>
    <x v="8"/>
    <s v="422 - Direitos individuais, coletivos e difusos"/>
    <x v="761"/>
    <n v="4908.67"/>
    <n v="5680.41"/>
    <n v="3850.31"/>
  </r>
  <r>
    <x v="3"/>
    <x v="26"/>
    <s v="126 - Tecnologia da informação"/>
    <x v="762"/>
    <n v="8861611.5500000007"/>
    <n v="10424200.279999999"/>
    <n v="7898015.9699999997"/>
  </r>
  <r>
    <x v="3"/>
    <x v="6"/>
    <s v="122 - Administração geral"/>
    <x v="763"/>
    <n v="592288.13"/>
    <n v="584385.30000000005"/>
    <n v="1391316.24"/>
  </r>
  <r>
    <x v="3"/>
    <x v="23"/>
    <s v="571 - Desenvolvimento científico"/>
    <x v="764"/>
    <n v="95624.01"/>
    <n v="44667.62"/>
    <n v="58731.8"/>
  </r>
  <r>
    <x v="3"/>
    <x v="11"/>
    <s v="843 - Serviço da dívida interna"/>
    <x v="765"/>
    <n v="6371329634.6800003"/>
    <n v="6371329634.6800003"/>
    <n v="169998.62"/>
  </r>
  <r>
    <x v="3"/>
    <x v="18"/>
    <s v="131 - Comunicação social"/>
    <x v="766"/>
    <n v="1307998.97"/>
    <n v="1307998.97"/>
    <n v="35445397.140000001"/>
  </r>
  <r>
    <x v="3"/>
    <x v="4"/>
    <s v="331 - Proteção e benefícios ao trabalhador"/>
    <x v="0"/>
    <n v="2491275.94"/>
    <n v="2130199.61"/>
    <n v="0"/>
  </r>
  <r>
    <x v="3"/>
    <x v="23"/>
    <s v="128 - Formação de recursos humanos"/>
    <x v="767"/>
    <n v="103654.66"/>
    <n v="47647.1"/>
    <n v="0"/>
  </r>
  <r>
    <x v="3"/>
    <x v="15"/>
    <s v="061 - Ação judiciária"/>
    <x v="768"/>
    <n v="17387.96"/>
    <n v="123863.59"/>
    <n v="35208.83"/>
  </r>
  <r>
    <x v="3"/>
    <x v="21"/>
    <s v="128 - Formação de recursos humanos"/>
    <x v="769"/>
    <n v="35370.9"/>
    <n v="35670.9"/>
    <n v="0"/>
  </r>
  <r>
    <x v="3"/>
    <x v="5"/>
    <s v="541 - Preservação e conservação ambiental"/>
    <x v="770"/>
    <n v="266.44"/>
    <n v="266.44"/>
    <n v="879212.05"/>
  </r>
  <r>
    <x v="3"/>
    <x v="12"/>
    <s v="126 - Tecnologia da informação"/>
    <x v="771"/>
    <n v="109145485.15000001"/>
    <n v="109126340.17"/>
    <n v="30955313.239999998"/>
  </r>
  <r>
    <x v="3"/>
    <x v="7"/>
    <s v="572 - Desenvolvimento tecnológico e engenharia"/>
    <x v="772"/>
    <n v="7232799.9299999997"/>
    <n v="2996190.53"/>
    <n v="9097070.1099999994"/>
  </r>
  <r>
    <x v="3"/>
    <x v="12"/>
    <s v="129 - Administração de receitas"/>
    <x v="773"/>
    <n v="3664353.8"/>
    <n v="4508839.04"/>
    <n v="38155594.759999998"/>
  </r>
  <r>
    <x v="3"/>
    <x v="14"/>
    <s v="846 - Outros encargos especiais"/>
    <x v="774"/>
    <n v="5508099.8499999996"/>
    <n v="5508099.8499999996"/>
    <n v="0"/>
  </r>
  <r>
    <x v="3"/>
    <x v="19"/>
    <s v="846 - Outros encargos especiais"/>
    <x v="775"/>
    <n v="1813380.44"/>
    <n v="1854865.52"/>
    <n v="0"/>
  </r>
  <r>
    <x v="3"/>
    <x v="26"/>
    <s v="783 - Transporte ferroviário"/>
    <x v="776"/>
    <n v="521675.68"/>
    <n v="473751.88"/>
    <n v="3002471.54"/>
  </r>
  <r>
    <x v="3"/>
    <x v="3"/>
    <s v="691 - Promoção comercial"/>
    <x v="0"/>
    <n v="0"/>
    <n v="0"/>
    <n v="3655096.04"/>
  </r>
  <r>
    <x v="3"/>
    <x v="3"/>
    <s v="301 - Atenção básica"/>
    <x v="0"/>
    <n v="0"/>
    <n v="0"/>
    <n v="134996.07999999999"/>
  </r>
  <r>
    <x v="3"/>
    <x v="12"/>
    <s v="123 - Administração financeira"/>
    <x v="777"/>
    <n v="371343.17"/>
    <n v="369718.67"/>
    <n v="211645.08"/>
  </r>
  <r>
    <x v="3"/>
    <x v="22"/>
    <s v="846 - Outros encargos especiais"/>
    <x v="778"/>
    <n v="604364.69999999995"/>
    <n v="604364.69999999995"/>
    <n v="0"/>
  </r>
  <r>
    <x v="3"/>
    <x v="1"/>
    <s v="422 - Direitos individuais, coletivos e difusos"/>
    <x v="779"/>
    <n v="0"/>
    <n v="0"/>
    <n v="563720.23"/>
  </r>
  <r>
    <x v="3"/>
    <x v="7"/>
    <s v="512 - Saneamento básico urbano"/>
    <x v="780"/>
    <n v="0"/>
    <n v="11374.91"/>
    <n v="1150999.96"/>
  </r>
  <r>
    <x v="3"/>
    <x v="13"/>
    <s v="125 - Normatização e fiscalização"/>
    <x v="781"/>
    <n v="190561.56"/>
    <n v="204957.97"/>
    <n v="0"/>
  </r>
  <r>
    <x v="3"/>
    <x v="11"/>
    <s v="847 - Transferências para a educação básica"/>
    <x v="782"/>
    <n v="6983096658.9899998"/>
    <n v="6983096658.9899998"/>
    <n v="0"/>
  </r>
  <r>
    <x v="3"/>
    <x v="12"/>
    <s v="573 - Difusão do conhecimento científico e tecnológico"/>
    <x v="783"/>
    <n v="32300"/>
    <n v="31474.18"/>
    <n v="108113.15"/>
  </r>
  <r>
    <x v="3"/>
    <x v="1"/>
    <s v="331 - Proteção e benefícios ao trabalhador"/>
    <x v="784"/>
    <n v="36631276.079999998"/>
    <n v="30800887.670000002"/>
    <n v="0"/>
  </r>
  <r>
    <x v="3"/>
    <x v="7"/>
    <s v="124 - Controle interno"/>
    <x v="785"/>
    <n v="450068.23"/>
    <n v="12568.23"/>
    <n v="0"/>
  </r>
  <r>
    <x v="3"/>
    <x v="1"/>
    <s v="421 - Custódia e reintegração social"/>
    <x v="786"/>
    <n v="2351777.31"/>
    <n v="2361052.42"/>
    <n v="1146557"/>
  </r>
  <r>
    <x v="3"/>
    <x v="0"/>
    <s v="847 - Transferências para a educação básica"/>
    <x v="787"/>
    <n v="3025013776.7399998"/>
    <n v="3025013776.7399998"/>
    <n v="0"/>
  </r>
  <r>
    <x v="3"/>
    <x v="0"/>
    <s v="301 - Atenção básica"/>
    <x v="0"/>
    <n v="0"/>
    <n v="0"/>
    <n v="159062.81"/>
  </r>
  <r>
    <x v="3"/>
    <x v="11"/>
    <s v="844 - Serviço da dívida externa"/>
    <x v="788"/>
    <n v="1476045984.8699999"/>
    <n v="1476045984.8699999"/>
    <n v="0"/>
  </r>
  <r>
    <x v="3"/>
    <x v="22"/>
    <s v="571 - Desenvolvimento científico"/>
    <x v="789"/>
    <n v="2371.91"/>
    <n v="5208.28"/>
    <n v="1252162.44"/>
  </r>
  <r>
    <x v="3"/>
    <x v="16"/>
    <s v="125 - Normatização e fiscalização"/>
    <x v="790"/>
    <n v="32824885.100000001"/>
    <n v="32905958.109999999"/>
    <n v="1365412.03"/>
  </r>
  <r>
    <x v="3"/>
    <x v="6"/>
    <s v="695 - Turismo"/>
    <x v="791"/>
    <n v="531372.35"/>
    <n v="529997.54"/>
    <n v="41309386.219999999"/>
  </r>
  <r>
    <x v="3"/>
    <x v="18"/>
    <s v="331 - Proteção e benefícios ao trabalhador"/>
    <x v="792"/>
    <n v="2368625.14"/>
    <n v="1633113.5"/>
    <n v="0"/>
  </r>
  <r>
    <x v="3"/>
    <x v="0"/>
    <s v="123 - Administração financeira"/>
    <x v="793"/>
    <n v="2243789.62"/>
    <n v="2243789.62"/>
    <n v="0"/>
  </r>
  <r>
    <x v="3"/>
    <x v="16"/>
    <s v="211 - Relações diplomáticas"/>
    <x v="794"/>
    <n v="0"/>
    <n v="0"/>
    <n v="0"/>
  </r>
  <r>
    <x v="3"/>
    <x v="20"/>
    <s v="126 - Tecnologia da informação"/>
    <x v="795"/>
    <n v="274104.81"/>
    <n v="514235.36"/>
    <n v="1601033.1"/>
  </r>
  <r>
    <x v="3"/>
    <x v="19"/>
    <s v="301 - Atenção básica"/>
    <x v="0"/>
    <n v="0"/>
    <n v="0"/>
    <n v="1691841.46"/>
  </r>
  <r>
    <x v="3"/>
    <x v="19"/>
    <s v="331 - Proteção e benefícios ao trabalhador"/>
    <x v="796"/>
    <n v="5699048.4500000002"/>
    <n v="6670855.5"/>
    <n v="0"/>
  </r>
  <r>
    <x v="3"/>
    <x v="7"/>
    <s v="126 - Tecnologia da informação"/>
    <x v="797"/>
    <n v="23716612.059999999"/>
    <n v="11903042.92"/>
    <n v="6875005.7300000004"/>
  </r>
  <r>
    <x v="3"/>
    <x v="22"/>
    <s v="333 - Empregabilidade"/>
    <x v="798"/>
    <n v="5052.6000000000004"/>
    <n v="5052.6000000000004"/>
    <n v="1616030.55"/>
  </r>
  <r>
    <x v="3"/>
    <x v="20"/>
    <s v="364 - Ensino superior"/>
    <x v="799"/>
    <n v="249393.7"/>
    <n v="241572.13"/>
    <n v="3090202.31"/>
  </r>
  <r>
    <x v="3"/>
    <x v="12"/>
    <s v="364 - Ensino superior"/>
    <x v="800"/>
    <n v="58277.27"/>
    <n v="54471.39"/>
    <n v="906.65"/>
  </r>
  <r>
    <x v="3"/>
    <x v="7"/>
    <s v="125 - Normatização e fiscalização"/>
    <x v="801"/>
    <n v="1299478.22"/>
    <n v="1293488.75"/>
    <n v="2305818.14"/>
  </r>
  <r>
    <x v="3"/>
    <x v="20"/>
    <s v="781 - Transporte aéreo"/>
    <x v="802"/>
    <n v="780060.74"/>
    <n v="770178.74"/>
    <n v="2373817.5299999998"/>
  </r>
  <r>
    <x v="3"/>
    <x v="16"/>
    <s v="665 - Normalização e qualidade"/>
    <x v="803"/>
    <n v="696646.81"/>
    <n v="720601.14"/>
    <n v="27708"/>
  </r>
  <r>
    <x v="3"/>
    <x v="20"/>
    <s v="722 - Telecomunicações"/>
    <x v="804"/>
    <n v="2207.8000000000002"/>
    <n v="2207.8000000000002"/>
    <n v="6992567.2300000004"/>
  </r>
  <r>
    <x v="3"/>
    <x v="15"/>
    <s v="122 - Administração geral"/>
    <x v="805"/>
    <n v="4377.7299999999996"/>
    <n v="100000"/>
    <n v="27416.27"/>
  </r>
  <r>
    <x v="3"/>
    <x v="10"/>
    <s v="125 - Normatização e fiscalização"/>
    <x v="806"/>
    <n v="227952.09"/>
    <n v="414580.63"/>
    <n v="0"/>
  </r>
  <r>
    <x v="3"/>
    <x v="26"/>
    <s v="781 - Transporte aéreo"/>
    <x v="807"/>
    <n v="0"/>
    <n v="437852.31"/>
    <n v="11355428.449999999"/>
  </r>
  <r>
    <x v="3"/>
    <x v="26"/>
    <s v="331 - Proteção e benefícios ao trabalhador"/>
    <x v="808"/>
    <n v="7686725.1799999997"/>
    <n v="6620217.3399999999"/>
    <n v="0"/>
  </r>
  <r>
    <x v="3"/>
    <x v="13"/>
    <s v="242 - Assistência ao portador de deficiência"/>
    <x v="809"/>
    <n v="3952138078.73"/>
    <n v="3982543327.9699998"/>
    <n v="0"/>
  </r>
  <r>
    <x v="3"/>
    <x v="8"/>
    <s v="363 - Ensino profissional"/>
    <x v="810"/>
    <n v="209454.83"/>
    <n v="97692.56"/>
    <n v="401084.5"/>
  </r>
  <r>
    <x v="3"/>
    <x v="20"/>
    <s v="333 - Empregabilidade"/>
    <x v="0"/>
    <n v="0"/>
    <n v="0"/>
    <n v="60816.01"/>
  </r>
  <r>
    <x v="3"/>
    <x v="18"/>
    <s v="722 - Telecomunicações"/>
    <x v="811"/>
    <n v="21787368.699999999"/>
    <n v="12020004.5"/>
    <n v="26740207.879999999"/>
  </r>
  <r>
    <x v="3"/>
    <x v="12"/>
    <s v="092 - Representação judicial e extrajudicial"/>
    <x v="812"/>
    <n v="24618750.710000001"/>
    <n v="24613885.16"/>
    <n v="18446.46"/>
  </r>
  <r>
    <x v="3"/>
    <x v="20"/>
    <s v="571 - Desenvolvimento científico"/>
    <x v="813"/>
    <n v="694558.99"/>
    <n v="96234.28"/>
    <n v="184588.62"/>
  </r>
  <r>
    <x v="3"/>
    <x v="21"/>
    <s v="391 - Patrimônio histórico, artístico e arqueológico"/>
    <x v="814"/>
    <n v="248234.05"/>
    <n v="201489.47"/>
    <n v="5189525.8"/>
  </r>
  <r>
    <x v="3"/>
    <x v="21"/>
    <s v="331 - Proteção e benefícios ao trabalhador"/>
    <x v="815"/>
    <n v="2941159.47"/>
    <n v="2262974.9"/>
    <n v="0"/>
  </r>
  <r>
    <x v="3"/>
    <x v="0"/>
    <s v="573 - Difusão do conhecimento científico e tecnológico"/>
    <x v="816"/>
    <n v="1160728.96"/>
    <n v="1152082.8799999999"/>
    <n v="-602946.18999999994"/>
  </r>
  <r>
    <x v="3"/>
    <x v="9"/>
    <s v="126 - Tecnologia da informação"/>
    <x v="0"/>
    <n v="0"/>
    <n v="0"/>
    <n v="756240"/>
  </r>
  <r>
    <x v="3"/>
    <x v="7"/>
    <s v="331 - Proteção e benefícios ao trabalhador"/>
    <x v="817"/>
    <n v="61023348.109999999"/>
    <n v="50978910.770000003"/>
    <n v="0"/>
  </r>
  <r>
    <x v="3"/>
    <x v="20"/>
    <s v="121 - Planejamento e orçamento"/>
    <x v="818"/>
    <n v="16784.63"/>
    <n v="12125.63"/>
    <n v="-8.66"/>
  </r>
  <r>
    <x v="3"/>
    <x v="5"/>
    <s v="331 - Proteção e benefícios ao trabalhador"/>
    <x v="819"/>
    <n v="13672106.789999999"/>
    <n v="12356691.17"/>
    <n v="0"/>
  </r>
  <r>
    <x v="3"/>
    <x v="10"/>
    <s v="122 - Administração geral"/>
    <x v="820"/>
    <n v="197716565.59"/>
    <n v="205693861.58000001"/>
    <n v="12294698.91"/>
  </r>
  <r>
    <x v="3"/>
    <x v="21"/>
    <s v="392 - Difusão cultural"/>
    <x v="821"/>
    <n v="8272582.8700000001"/>
    <n v="8368592.5499999998"/>
    <n v="9336662.6500000004"/>
  </r>
  <r>
    <x v="3"/>
    <x v="19"/>
    <s v="128 - Formação de recursos humanos"/>
    <x v="822"/>
    <n v="41307.160000000003"/>
    <n v="5475.12"/>
    <n v="41453.660000000003"/>
  </r>
  <r>
    <x v="3"/>
    <x v="7"/>
    <s v="304 - Vigilância sanitária"/>
    <x v="823"/>
    <n v="23904232.390000001"/>
    <n v="24156730.73"/>
    <n v="519220.52"/>
  </r>
  <r>
    <x v="3"/>
    <x v="20"/>
    <s v="423 - Assistência aos povos indígenas"/>
    <x v="824"/>
    <n v="14885426.02"/>
    <n v="14727241.92"/>
    <n v="0"/>
  </r>
  <r>
    <x v="3"/>
    <x v="20"/>
    <s v="212 - Cooperação internacional"/>
    <x v="825"/>
    <n v="474780.07"/>
    <n v="472943.72"/>
    <n v="764211.09"/>
  </r>
  <r>
    <x v="3"/>
    <x v="12"/>
    <s v="391 - Patrimônio histórico, artístico e arqueológico"/>
    <x v="826"/>
    <n v="1464840.99"/>
    <n v="1666218.83"/>
    <n v="191535.56"/>
  </r>
  <r>
    <x v="3"/>
    <x v="8"/>
    <s v="127 - Ordenamento territorial"/>
    <x v="827"/>
    <n v="168266.12"/>
    <n v="123359.75"/>
    <n v="419.54"/>
  </r>
  <r>
    <x v="3"/>
    <x v="12"/>
    <s v="722 - Telecomunicações"/>
    <x v="828"/>
    <n v="6403332.6600000001"/>
    <n v="6867600.7300000004"/>
    <n v="0"/>
  </r>
  <r>
    <x v="3"/>
    <x v="23"/>
    <s v="125 - Normatização e fiscalização"/>
    <x v="829"/>
    <n v="27223243.239999998"/>
    <n v="25696624.170000002"/>
    <n v="2548827.09"/>
  </r>
  <r>
    <x v="3"/>
    <x v="20"/>
    <s v="811 - Desporto de rendimento"/>
    <x v="830"/>
    <n v="308261.26"/>
    <n v="308261.26"/>
    <n v="53137.760000000002"/>
  </r>
  <r>
    <x v="3"/>
    <x v="12"/>
    <s v="127 - Ordenamento territorial"/>
    <x v="831"/>
    <n v="3774427.95"/>
    <n v="3842404.73"/>
    <n v="1863388.81"/>
  </r>
  <r>
    <x v="3"/>
    <x v="27"/>
    <s v="811 - Desporto de rendimento"/>
    <x v="832"/>
    <n v="979468.18"/>
    <n v="974103.09"/>
    <n v="10023374.859999999"/>
  </r>
  <r>
    <x v="3"/>
    <x v="5"/>
    <s v="573 - Difusão do conhecimento científico e tecnológico"/>
    <x v="833"/>
    <n v="2727.44"/>
    <n v="2687.44"/>
    <n v="2028229.69"/>
  </r>
  <r>
    <x v="3"/>
    <x v="16"/>
    <s v="331 - Proteção e benefícios ao trabalhador"/>
    <x v="834"/>
    <n v="6373284.5300000003"/>
    <n v="5745140.5599999996"/>
    <n v="0"/>
  </r>
  <r>
    <x v="3"/>
    <x v="26"/>
    <s v="125 - Normatização e fiscalização"/>
    <x v="835"/>
    <n v="12497337.560000001"/>
    <n v="12822014.99"/>
    <n v="2322589.06"/>
  </r>
  <r>
    <x v="3"/>
    <x v="0"/>
    <s v="366 - Educação de jovens e adultos"/>
    <x v="0"/>
    <n v="0"/>
    <n v="0"/>
    <n v="769293.47"/>
  </r>
  <r>
    <x v="3"/>
    <x v="26"/>
    <s v="784 - Transporte hidroviário"/>
    <x v="836"/>
    <n v="32422392.260000002"/>
    <n v="32378666.710000001"/>
    <n v="13970592.77"/>
  </r>
  <r>
    <x v="3"/>
    <x v="16"/>
    <s v="182 - Defesa civil"/>
    <x v="837"/>
    <n v="352172.12"/>
    <n v="385998.73"/>
    <n v="0"/>
  </r>
  <r>
    <x v="3"/>
    <x v="23"/>
    <s v="512 - Saneamento básico urbano"/>
    <x v="838"/>
    <n v="113628.23"/>
    <n v="108564.48"/>
    <n v="332021.39"/>
  </r>
  <r>
    <x v="3"/>
    <x v="10"/>
    <s v="128 - Formação de recursos humanos"/>
    <x v="839"/>
    <n v="40532.83"/>
    <n v="40751.269999999997"/>
    <n v="0"/>
  </r>
  <r>
    <x v="3"/>
    <x v="7"/>
    <s v="303 - Suporte profilático e terapêutico"/>
    <x v="840"/>
    <n v="1280472533.45"/>
    <n v="1306738236.48"/>
    <n v="312574459.50999999"/>
  </r>
  <r>
    <x v="3"/>
    <x v="23"/>
    <s v="542 - Controle ambiental"/>
    <x v="841"/>
    <n v="2715884.96"/>
    <n v="2694936.49"/>
    <n v="3276377.11"/>
  </r>
  <r>
    <x v="3"/>
    <x v="10"/>
    <s v="124 - Controle interno"/>
    <x v="842"/>
    <n v="484413.06"/>
    <n v="470466.53"/>
    <n v="0"/>
  </r>
  <r>
    <x v="3"/>
    <x v="26"/>
    <s v="782 - Transporte rodoviário"/>
    <x v="843"/>
    <n v="312427090.31999999"/>
    <n v="287001756.20999998"/>
    <n v="475296251.60000002"/>
  </r>
  <r>
    <x v="3"/>
    <x v="12"/>
    <s v="128 - Formação de recursos humanos"/>
    <x v="844"/>
    <n v="261415.92"/>
    <n v="258276.58"/>
    <n v="186928.32"/>
  </r>
  <r>
    <x v="3"/>
    <x v="12"/>
    <s v="331 - Proteção e benefícios ao trabalhador"/>
    <x v="845"/>
    <n v="87713132.909999996"/>
    <n v="71319484.349999994"/>
    <n v="0"/>
  </r>
  <r>
    <x v="3"/>
    <x v="16"/>
    <s v="128 - Formação de recursos humanos"/>
    <x v="846"/>
    <n v="101539.64"/>
    <n v="95774.39"/>
    <n v="1281.67"/>
  </r>
  <r>
    <x v="3"/>
    <x v="7"/>
    <s v="573 - Difusão do conhecimento científico e tecnológico"/>
    <x v="847"/>
    <n v="2490172.06"/>
    <n v="2316211.75"/>
    <n v="1135071.3999999999"/>
  </r>
  <r>
    <x v="3"/>
    <x v="12"/>
    <s v="846 - Outros encargos especiais"/>
    <x v="848"/>
    <n v="148457811.91999999"/>
    <n v="148541055.69999999"/>
    <n v="1662.22"/>
  </r>
  <r>
    <x v="3"/>
    <x v="20"/>
    <s v="368 - Educação básica"/>
    <x v="849"/>
    <n v="1366945.77"/>
    <n v="1312125.25"/>
    <n v="625568.65"/>
  </r>
  <r>
    <x v="3"/>
    <x v="13"/>
    <s v="244 - Assistência comunitária"/>
    <x v="850"/>
    <n v="14732774650.459999"/>
    <n v="14732179514.08"/>
    <n v="45030845.859999999"/>
  </r>
  <r>
    <x v="3"/>
    <x v="14"/>
    <s v="422 - Direitos individuais, coletivos e difusos"/>
    <x v="851"/>
    <n v="3766578.77"/>
    <n v="3955563.43"/>
    <n v="19541855.640000001"/>
  </r>
  <r>
    <x v="3"/>
    <x v="9"/>
    <s v="092 - Representação judicial e extrajudicial"/>
    <x v="852"/>
    <n v="31652788.489999998"/>
    <n v="33293662.859999999"/>
    <n v="3573105.36"/>
  </r>
  <r>
    <x v="3"/>
    <x v="18"/>
    <s v="122 - Administração geral"/>
    <x v="853"/>
    <n v="48419936.509999998"/>
    <n v="47741292.600000001"/>
    <n v="2465428.89"/>
  </r>
  <r>
    <x v="3"/>
    <x v="5"/>
    <s v="607 - Irrigação"/>
    <x v="854"/>
    <n v="6146153.5499999998"/>
    <n v="9902743.6199999992"/>
    <n v="8310072.8099999996"/>
  </r>
  <r>
    <x v="3"/>
    <x v="20"/>
    <s v="846 - Outros encargos especiais"/>
    <x v="855"/>
    <n v="18667040.379999999"/>
    <n v="18667040.379999999"/>
    <n v="0"/>
  </r>
  <r>
    <x v="3"/>
    <x v="5"/>
    <s v="605 - Abastecimento"/>
    <x v="856"/>
    <n v="365897247.10000002"/>
    <n v="365648392.89999998"/>
    <n v="10518186.49"/>
  </r>
  <r>
    <x v="3"/>
    <x v="19"/>
    <s v="451 - infra-estrutura urbana"/>
    <x v="0"/>
    <n v="0"/>
    <n v="0"/>
    <n v="67353296.620000005"/>
  </r>
  <r>
    <x v="3"/>
    <x v="7"/>
    <s v="541 - Preservação e conservação ambiental"/>
    <x v="857"/>
    <n v="83.28"/>
    <n v="3883.15"/>
    <n v="0"/>
  </r>
  <r>
    <x v="3"/>
    <x v="20"/>
    <s v="482 - Habitação urbana"/>
    <x v="858"/>
    <n v="8812821.6899999995"/>
    <n v="8564308.3499999996"/>
    <n v="15553778.039999999"/>
  </r>
  <r>
    <x v="3"/>
    <x v="4"/>
    <s v="125 - Normatização e fiscalização"/>
    <x v="859"/>
    <n v="5965085.0899999999"/>
    <n v="4681115.28"/>
    <n v="6055328.3700000001"/>
  </r>
  <r>
    <x v="3"/>
    <x v="16"/>
    <s v="126 - Tecnologia da informação"/>
    <x v="860"/>
    <n v="1417070.1"/>
    <n v="1574624.5"/>
    <n v="1858750.99"/>
  </r>
  <r>
    <x v="3"/>
    <x v="20"/>
    <s v="183 - Informação e inteligência"/>
    <x v="861"/>
    <n v="520423.74"/>
    <n v="487513.82"/>
    <n v="150495.46"/>
  </r>
  <r>
    <x v="3"/>
    <x v="19"/>
    <s v="453 - Transportes coletivos urbanos"/>
    <x v="862"/>
    <n v="16752366.470000001"/>
    <n v="17179676.469999999"/>
    <n v="10726854.84"/>
  </r>
  <r>
    <x v="3"/>
    <x v="16"/>
    <s v="122 - Administração geral"/>
    <x v="863"/>
    <n v="92987077.739999995"/>
    <n v="94994105.810000002"/>
    <n v="3403798.44"/>
  </r>
  <r>
    <x v="3"/>
    <x v="12"/>
    <s v="183 - Informação e inteligência"/>
    <x v="864"/>
    <n v="4921128.4800000004"/>
    <n v="5076157.3"/>
    <n v="803086.99"/>
  </r>
  <r>
    <x v="3"/>
    <x v="22"/>
    <s v="125 - Normatização e fiscalização"/>
    <x v="865"/>
    <n v="1039526.49"/>
    <n v="1033167.48"/>
    <n v="316183.74"/>
  </r>
  <r>
    <x v="3"/>
    <x v="26"/>
    <s v="121 - Planejamento e orçamento"/>
    <x v="866"/>
    <n v="2770448.81"/>
    <n v="832885.81"/>
    <n v="12760198.439999999"/>
  </r>
  <r>
    <x v="3"/>
    <x v="7"/>
    <s v="128 - Formação de recursos humanos"/>
    <x v="867"/>
    <n v="151365963.75999999"/>
    <n v="154410216.88"/>
    <n v="16805037.539999999"/>
  </r>
  <r>
    <x v="3"/>
    <x v="2"/>
    <s v="331 - Proteção e benefícios ao trabalhador"/>
    <x v="868"/>
    <n v="52987515.880000003"/>
    <n v="52737259.32"/>
    <n v="0"/>
  </r>
  <r>
    <x v="3"/>
    <x v="7"/>
    <s v="511 - Saneamento básico rural"/>
    <x v="869"/>
    <n v="2922876.36"/>
    <n v="2964679.21"/>
    <n v="1915464.41"/>
  </r>
  <r>
    <x v="3"/>
    <x v="8"/>
    <s v="122 - Administração geral"/>
    <x v="870"/>
    <n v="95109590.400000006"/>
    <n v="95152266.5"/>
    <n v="2538499.1"/>
  </r>
  <r>
    <x v="3"/>
    <x v="20"/>
    <s v="573 - Difusão do conhecimento científico e tecnológico"/>
    <x v="871"/>
    <n v="0"/>
    <n v="0"/>
    <n v="1943.97"/>
  </r>
  <r>
    <x v="3"/>
    <x v="20"/>
    <s v="244 - Assistência comunitária"/>
    <x v="872"/>
    <n v="16263.15"/>
    <n v="13851.8"/>
    <n v="40879877.799999997"/>
  </r>
  <r>
    <x v="3"/>
    <x v="20"/>
    <s v="151 - Defesa aérea"/>
    <x v="873"/>
    <n v="97197714.680000007"/>
    <n v="94729852.659999996"/>
    <n v="104721788.22"/>
  </r>
  <r>
    <x v="3"/>
    <x v="16"/>
    <s v="544 - Recursos hídricos"/>
    <x v="874"/>
    <n v="204003.32"/>
    <n v="246274.41"/>
    <n v="324044.67"/>
  </r>
  <r>
    <x v="3"/>
    <x v="10"/>
    <s v="331 - Proteção e benefícios ao trabalhador"/>
    <x v="875"/>
    <n v="23040490.82"/>
    <n v="25545946.489999998"/>
    <n v="0"/>
  </r>
  <r>
    <x v="3"/>
    <x v="5"/>
    <s v="122 - Administração geral"/>
    <x v="876"/>
    <n v="641599111.82000005"/>
    <n v="318919914.19"/>
    <n v="4251199.95"/>
  </r>
  <r>
    <x v="3"/>
    <x v="26"/>
    <s v="122 - Administração geral"/>
    <x v="877"/>
    <n v="142629841.25999999"/>
    <n v="147954646.72"/>
    <n v="12441630.060000001"/>
  </r>
  <r>
    <x v="3"/>
    <x v="0"/>
    <s v="846 - Outros encargos especiais"/>
    <x v="878"/>
    <n v="617666272.46000004"/>
    <n v="617653447.54999995"/>
    <n v="16868.990000000002"/>
  </r>
  <r>
    <x v="3"/>
    <x v="0"/>
    <s v="367 - Educação especial"/>
    <x v="879"/>
    <n v="2092476.54"/>
    <n v="2655295.1800000002"/>
    <n v="1732357.32"/>
  </r>
  <r>
    <x v="3"/>
    <x v="18"/>
    <s v="126 - Tecnologia da informação"/>
    <x v="880"/>
    <n v="0"/>
    <n v="0"/>
    <n v="2972918.05"/>
  </r>
  <r>
    <x v="3"/>
    <x v="3"/>
    <s v="571 - Desenvolvimento científico"/>
    <x v="881"/>
    <n v="144152610.63999999"/>
    <n v="92236747.109999999"/>
    <n v="29873565.239999998"/>
  </r>
  <r>
    <x v="3"/>
    <x v="3"/>
    <s v="572 - Desenvolvimento tecnológico e engenharia"/>
    <x v="882"/>
    <n v="46347684.310000002"/>
    <n v="262874063.72999999"/>
    <n v="30997694.010000002"/>
  </r>
  <r>
    <x v="3"/>
    <x v="3"/>
    <s v="573 - Difusão do conhecimento científico e tecnológico"/>
    <x v="883"/>
    <n v="269509.51"/>
    <n v="271419.03999999998"/>
    <n v="3038948.9"/>
  </r>
  <r>
    <x v="3"/>
    <x v="0"/>
    <s v="331 - Proteção e benefícios ao trabalhador"/>
    <x v="884"/>
    <n v="300412414.70999998"/>
    <n v="248901144.69999999"/>
    <n v="0"/>
  </r>
  <r>
    <x v="3"/>
    <x v="20"/>
    <s v="572 - Desenvolvimento tecnológico e engenharia"/>
    <x v="885"/>
    <n v="4094064.16"/>
    <n v="4023753.5"/>
    <n v="6677524.3700000001"/>
  </r>
  <r>
    <x v="3"/>
    <x v="3"/>
    <s v="331 - Proteção e benefícios ao trabalhador"/>
    <x v="886"/>
    <n v="7607738.7800000003"/>
    <n v="7444708.1600000001"/>
    <n v="0"/>
  </r>
  <r>
    <x v="3"/>
    <x v="7"/>
    <s v="305 - Vigilância epidemiológica"/>
    <x v="887"/>
    <n v="644788663.90999997"/>
    <n v="586991987.62"/>
    <n v="1090693302.98"/>
  </r>
  <r>
    <x v="3"/>
    <x v="10"/>
    <s v="272 - Previdência do regime estatutário"/>
    <x v="888"/>
    <n v="7699007508.2399998"/>
    <n v="7651357199.1000004"/>
    <n v="35623.93"/>
  </r>
  <r>
    <x v="3"/>
    <x v="12"/>
    <s v="125 - Normatização e fiscalização"/>
    <x v="889"/>
    <n v="15560164.83"/>
    <n v="15967100.630000001"/>
    <n v="4078125.16"/>
  </r>
  <r>
    <x v="3"/>
    <x v="0"/>
    <s v="365 - Educação infantil"/>
    <x v="890"/>
    <n v="56489203"/>
    <n v="51250153.079999998"/>
    <n v="37442237.149999999"/>
  </r>
  <r>
    <x v="3"/>
    <x v="8"/>
    <s v="631 - Reforma agrária"/>
    <x v="891"/>
    <n v="612450.28"/>
    <n v="558265.93999999994"/>
    <n v="6615956.9900000002"/>
  </r>
  <r>
    <x v="3"/>
    <x v="19"/>
    <s v="122 - Administração geral"/>
    <x v="892"/>
    <n v="60377169.579999998"/>
    <n v="59841357.780000001"/>
    <n v="109092.81"/>
  </r>
  <r>
    <x v="3"/>
    <x v="0"/>
    <s v="122 - Administração geral"/>
    <x v="893"/>
    <n v="74578103.700000003"/>
    <n v="75673211.709999993"/>
    <n v="7556565.71"/>
  </r>
  <r>
    <x v="3"/>
    <x v="5"/>
    <s v="608 - Promoção da produção agropecuária"/>
    <x v="894"/>
    <n v="329087964.98000002"/>
    <n v="328597960.04000002"/>
    <n v="198444206.63999999"/>
  </r>
  <r>
    <x v="3"/>
    <x v="3"/>
    <s v="662 - Produção industrial"/>
    <x v="895"/>
    <n v="5698524.4900000002"/>
    <n v="4404566.6100000003"/>
    <n v="13198617.109999999"/>
  </r>
  <r>
    <x v="3"/>
    <x v="9"/>
    <s v="331 - Proteção e benefícios ao trabalhador"/>
    <x v="0"/>
    <n v="9024717.75"/>
    <n v="4925293.8600000003"/>
    <n v="0"/>
  </r>
  <r>
    <x v="3"/>
    <x v="2"/>
    <s v="212 - Cooperação internacional"/>
    <x v="896"/>
    <n v="2735412.54"/>
    <n v="2717798.9"/>
    <n v="1020.78"/>
  </r>
  <r>
    <x v="3"/>
    <x v="14"/>
    <s v="331 - Proteção e benefícios ao trabalhador"/>
    <x v="897"/>
    <n v="1639500.49"/>
    <n v="1421273.52"/>
    <n v="0"/>
  </r>
  <r>
    <x v="3"/>
    <x v="0"/>
    <s v="694 - Serviços financeiros"/>
    <x v="703"/>
    <n v="223577467.94"/>
    <n v="223568039.03999999"/>
    <n v="115064.33"/>
  </r>
  <r>
    <x v="3"/>
    <x v="21"/>
    <s v="122 - Administração geral"/>
    <x v="898"/>
    <n v="45850080.759999998"/>
    <n v="42906065.899999999"/>
    <n v="2822319.6"/>
  </r>
  <r>
    <x v="3"/>
    <x v="23"/>
    <s v="541 - Preservação e conservação ambiental"/>
    <x v="899"/>
    <n v="9650165.6799999997"/>
    <n v="8870504.3000000007"/>
    <n v="5661725.2199999997"/>
  </r>
  <r>
    <x v="3"/>
    <x v="0"/>
    <s v="306 - Alimentação e nutrição"/>
    <x v="900"/>
    <n v="492255333.66000003"/>
    <n v="492102071.48000002"/>
    <n v="2735826.72"/>
  </r>
  <r>
    <x v="3"/>
    <x v="4"/>
    <s v="122 - Administração geral"/>
    <x v="901"/>
    <n v="54665450.369999997"/>
    <n v="58576026.990000002"/>
    <n v="3541169.86"/>
  </r>
  <r>
    <x v="3"/>
    <x v="4"/>
    <s v="572 - Desenvolvimento tecnológico e engenharia"/>
    <x v="902"/>
    <n v="7104308.1799999997"/>
    <n v="5088443.9400000004"/>
    <n v="1025.92"/>
  </r>
  <r>
    <x v="3"/>
    <x v="7"/>
    <s v="423 - Assistência aos povos indígenas"/>
    <x v="903"/>
    <n v="85260994.599999994"/>
    <n v="83238926.200000003"/>
    <n v="5405900.54"/>
  </r>
  <r>
    <x v="3"/>
    <x v="5"/>
    <s v="301 - Atenção básica"/>
    <x v="0"/>
    <n v="0"/>
    <n v="0"/>
    <n v="8507899.5999999996"/>
  </r>
  <r>
    <x v="3"/>
    <x v="2"/>
    <s v="691 - Promoção comercial"/>
    <x v="904"/>
    <n v="570800.46"/>
    <n v="570800.46"/>
    <n v="134052.74"/>
  </r>
  <r>
    <x v="3"/>
    <x v="5"/>
    <s v="609 - Defesa agropecuária"/>
    <x v="905"/>
    <n v="354175.85"/>
    <n v="340249.82"/>
    <n v="2447795.08"/>
  </r>
  <r>
    <x v="3"/>
    <x v="3"/>
    <s v="122 - Administração geral"/>
    <x v="906"/>
    <n v="118214365.98999999"/>
    <n v="115653266.97"/>
    <n v="13781193.02"/>
  </r>
  <r>
    <x v="3"/>
    <x v="18"/>
    <s v="125 - Normatização e fiscalização"/>
    <x v="907"/>
    <n v="1379739.29"/>
    <n v="1377065.12"/>
    <n v="36068.07"/>
  </r>
  <r>
    <x v="3"/>
    <x v="5"/>
    <s v="691 - Promoção comercial"/>
    <x v="908"/>
    <n v="2869724.46"/>
    <n v="2583134.73"/>
    <n v="117013.12"/>
  </r>
  <r>
    <x v="3"/>
    <x v="10"/>
    <s v="271 - Previdência básica"/>
    <x v="909"/>
    <n v="64376170780.910004"/>
    <n v="64501377056.709999"/>
    <n v="1395246.07"/>
  </r>
  <r>
    <x v="3"/>
    <x v="20"/>
    <s v="128 - Formação de recursos humanos"/>
    <x v="910"/>
    <n v="5110507.75"/>
    <n v="3860083.07"/>
    <n v="3902284.66"/>
  </r>
  <r>
    <x v="3"/>
    <x v="19"/>
    <s v="244 - Assistência comunitária"/>
    <x v="0"/>
    <n v="0"/>
    <n v="0"/>
    <n v="687186894.25999999"/>
  </r>
  <r>
    <x v="3"/>
    <x v="16"/>
    <s v="127 - Ordenamento territorial"/>
    <x v="911"/>
    <n v="66580.05"/>
    <n v="56152.09"/>
    <n v="553315.94999999995"/>
  </r>
  <r>
    <x v="3"/>
    <x v="20"/>
    <s v="542 - Controle ambiental"/>
    <x v="912"/>
    <n v="1535825.08"/>
    <n v="1662790.99"/>
    <n v="3666539.7"/>
  </r>
  <r>
    <x v="3"/>
    <x v="22"/>
    <s v="122 - Administração geral"/>
    <x v="913"/>
    <n v="169990175.16"/>
    <n v="166681407.93000001"/>
    <n v="593009.13"/>
  </r>
  <r>
    <x v="3"/>
    <x v="11"/>
    <s v="846 - Outros encargos especiais"/>
    <x v="914"/>
    <n v="1718270214.8599999"/>
    <n v="1708850491.4000001"/>
    <n v="780471267.22000003"/>
  </r>
  <r>
    <x v="3"/>
    <x v="14"/>
    <s v="125 - Normatização e fiscalização"/>
    <x v="915"/>
    <n v="3390582.8"/>
    <n v="3262435.32"/>
    <n v="1196475.6299999999"/>
  </r>
  <r>
    <x v="3"/>
    <x v="23"/>
    <s v="544 - Recursos hídricos"/>
    <x v="916"/>
    <n v="199983051.5"/>
    <n v="193205970.56999999"/>
    <n v="137899021.56999999"/>
  </r>
  <r>
    <x v="3"/>
    <x v="20"/>
    <s v="301 - Atenção básica"/>
    <x v="917"/>
    <n v="0"/>
    <n v="0"/>
    <n v="149169014.31"/>
  </r>
  <r>
    <x v="3"/>
    <x v="1"/>
    <s v="182 - Defesa civil"/>
    <x v="918"/>
    <n v="82472019.790000007"/>
    <n v="110842854.03"/>
    <n v="16386383.77"/>
  </r>
  <r>
    <x v="3"/>
    <x v="13"/>
    <s v="306 - Alimentação e nutrição"/>
    <x v="919"/>
    <n v="0"/>
    <n v="0"/>
    <n v="10512957.949999999"/>
  </r>
  <r>
    <x v="3"/>
    <x v="11"/>
    <s v="845 - Outras transferências"/>
    <x v="920"/>
    <n v="28312886483.400002"/>
    <n v="27691496062.07"/>
    <n v="209498366.63"/>
  </r>
  <r>
    <x v="3"/>
    <x v="16"/>
    <s v="663 - Mineração"/>
    <x v="921"/>
    <n v="1422802.42"/>
    <n v="2467644.5299999998"/>
    <n v="1191305.04"/>
  </r>
  <r>
    <x v="3"/>
    <x v="14"/>
    <s v="122 - Administração geral"/>
    <x v="922"/>
    <n v="32486112.280000001"/>
    <n v="32224537.850000001"/>
    <n v="6100220.3300000001"/>
  </r>
  <r>
    <x v="3"/>
    <x v="1"/>
    <s v="181 - Policiamento"/>
    <x v="923"/>
    <n v="147208635.47999999"/>
    <n v="112298977.13"/>
    <n v="116665348.27"/>
  </r>
  <r>
    <x v="3"/>
    <x v="2"/>
    <s v="392 - Difusão cultural"/>
    <x v="924"/>
    <n v="3819420.5"/>
    <n v="3823340.63"/>
    <n v="705177.36"/>
  </r>
  <r>
    <x v="3"/>
    <x v="20"/>
    <s v="125 - Normatização e fiscalização"/>
    <x v="925"/>
    <n v="6882961.2400000002"/>
    <n v="4894211.17"/>
    <n v="6686653.6399999997"/>
  </r>
  <r>
    <x v="3"/>
    <x v="5"/>
    <s v="572 - Desenvolvimento tecnológico e engenharia"/>
    <x v="926"/>
    <n v="13665953.710000001"/>
    <n v="12584991.15"/>
    <n v="13311702.859999999"/>
  </r>
  <r>
    <x v="3"/>
    <x v="1"/>
    <s v="122 - Administração geral"/>
    <x v="927"/>
    <n v="579066267.12"/>
    <n v="598379266.91999996"/>
    <n v="11415282.609999999"/>
  </r>
  <r>
    <x v="3"/>
    <x v="20"/>
    <s v="363 - Ensino profissional"/>
    <x v="928"/>
    <n v="719568.79"/>
    <n v="503135.5"/>
    <n v="1063231.92"/>
  </r>
  <r>
    <x v="3"/>
    <x v="0"/>
    <s v="128 - Formação de recursos humanos"/>
    <x v="929"/>
    <n v="2040061.07"/>
    <n v="1729087.68"/>
    <n v="1055758.82"/>
  </r>
  <r>
    <x v="3"/>
    <x v="7"/>
    <s v="122 - Administração geral"/>
    <x v="930"/>
    <n v="571963298.27999997"/>
    <n v="564576653.66999996"/>
    <n v="17505339.460000001"/>
  </r>
  <r>
    <x v="3"/>
    <x v="20"/>
    <s v="153 - Defesa terrestre"/>
    <x v="931"/>
    <n v="20836554.309999999"/>
    <n v="18661373.890000001"/>
    <n v="141830047.34"/>
  </r>
  <r>
    <x v="3"/>
    <x v="23"/>
    <s v="122 - Administração geral"/>
    <x v="932"/>
    <n v="91488045.329999998"/>
    <n v="92822942.239999995"/>
    <n v="3783346.97"/>
  </r>
  <r>
    <x v="3"/>
    <x v="2"/>
    <s v="211 - Relações diplomáticas"/>
    <x v="933"/>
    <n v="84939440.120000005"/>
    <n v="84726313.870000005"/>
    <n v="896305.01"/>
  </r>
  <r>
    <x v="3"/>
    <x v="7"/>
    <s v="302 - Assistência hospitalar e ambulatorial"/>
    <x v="934"/>
    <n v="6429024733.9799995"/>
    <n v="6378232877.3800001"/>
    <n v="352729774.99000001"/>
  </r>
  <r>
    <x v="3"/>
    <x v="27"/>
    <s v="812 - Desporto comunitário"/>
    <x v="0"/>
    <n v="0"/>
    <n v="0"/>
    <n v="39342393.939999998"/>
  </r>
  <r>
    <x v="3"/>
    <x v="12"/>
    <s v="121 - Planejamento e orçamento"/>
    <x v="935"/>
    <n v="54713467.009999998"/>
    <n v="60963540.280000001"/>
    <n v="38832347.079999998"/>
  </r>
  <r>
    <x v="3"/>
    <x v="12"/>
    <s v="122 - Administração geral"/>
    <x v="936"/>
    <n v="1535424166.96"/>
    <n v="1502133826.3099999"/>
    <n v="60499245.210000001"/>
  </r>
  <r>
    <x v="3"/>
    <x v="7"/>
    <s v="571 - Desenvolvimento científico"/>
    <x v="937"/>
    <n v="66937760.789999999"/>
    <n v="57906261.460000001"/>
    <n v="40893104.920000002"/>
  </r>
  <r>
    <x v="3"/>
    <x v="0"/>
    <s v="363 - Ensino profissional"/>
    <x v="938"/>
    <n v="976711080.13"/>
    <n v="963459601.97000003"/>
    <n v="134948762.19"/>
  </r>
  <r>
    <x v="3"/>
    <x v="20"/>
    <s v="152 - Defesa naval"/>
    <x v="939"/>
    <n v="71805531.140000001"/>
    <n v="46962464.049999997"/>
    <n v="31563634.739999998"/>
  </r>
  <r>
    <x v="3"/>
    <x v="0"/>
    <s v="302 - Assistência hospitalar e ambulatorial"/>
    <x v="940"/>
    <n v="828847620.91999996"/>
    <n v="773763593.52999997"/>
    <n v="40359799.43"/>
  </r>
  <r>
    <x v="3"/>
    <x v="5"/>
    <s v="125 - Normatização e fiscalização"/>
    <x v="941"/>
    <n v="9548410.1899999995"/>
    <n v="8608311.6400000006"/>
    <n v="3827987.13"/>
  </r>
  <r>
    <x v="3"/>
    <x v="22"/>
    <s v="331 - Proteção e benefícios ao trabalhador"/>
    <x v="942"/>
    <n v="8617586280.2900009"/>
    <n v="8610289408.4400005"/>
    <n v="5226826"/>
  </r>
  <r>
    <x v="3"/>
    <x v="0"/>
    <s v="368 - Educação básica"/>
    <x v="943"/>
    <n v="258745600.94"/>
    <n v="194227806.81999999"/>
    <n v="123925716.95999999"/>
  </r>
  <r>
    <x v="3"/>
    <x v="20"/>
    <s v="122 - Administração geral"/>
    <x v="944"/>
    <n v="5053530343.1899996"/>
    <n v="5194986347.2299995"/>
    <n v="69206023.689999998"/>
  </r>
  <r>
    <x v="3"/>
    <x v="8"/>
    <s v="331 - Proteção e benefícios ao trabalhador"/>
    <x v="945"/>
    <n v="10793176.66"/>
    <n v="10626038.98"/>
    <n v="0"/>
  </r>
  <r>
    <x v="3"/>
    <x v="12"/>
    <s v="124 - Controle interno"/>
    <x v="946"/>
    <n v="6787166.8399999999"/>
    <n v="7450350.2800000003"/>
    <n v="766275.53"/>
  </r>
  <r>
    <x v="3"/>
    <x v="20"/>
    <s v="331 - Proteção e benefícios ao trabalhador"/>
    <x v="947"/>
    <n v="476884755.57999998"/>
    <n v="551814795.97000003"/>
    <n v="58204074.579999998"/>
  </r>
  <r>
    <x v="3"/>
    <x v="2"/>
    <s v="122 - Administração geral"/>
    <x v="948"/>
    <n v="143322372.65000001"/>
    <n v="144041369.97999999"/>
    <n v="2824519.6"/>
  </r>
  <r>
    <x v="3"/>
    <x v="0"/>
    <s v="364 - Ensino superior"/>
    <x v="949"/>
    <n v="2928838860.77"/>
    <n v="2628418635.2800002"/>
    <n v="190193770.03999999"/>
  </r>
  <r>
    <x v="3"/>
    <x v="14"/>
    <s v="423 - Assistência aos povos indígenas"/>
    <x v="950"/>
    <n v="1218752.55"/>
    <n v="1170671.1399999999"/>
    <n v="1836586.29"/>
  </r>
  <r>
    <x v="3"/>
    <x v="7"/>
    <s v="301 - Atenção básica"/>
    <x v="951"/>
    <n v="2203891621.9099998"/>
    <n v="2202076302.3800001"/>
    <n v="146457028.53"/>
  </r>
  <r>
    <x v="4"/>
    <x v="9"/>
    <s v="032 - Controle externo"/>
    <x v="0"/>
    <n v="0"/>
    <n v="0"/>
    <n v="20310"/>
  </r>
  <r>
    <x v="4"/>
    <x v="1"/>
    <s v="482 - Habitação urbana"/>
    <x v="952"/>
    <n v="613317.63"/>
    <n v="585017.63"/>
    <n v="0"/>
  </r>
  <r>
    <x v="4"/>
    <x v="13"/>
    <s v="605 - Abastecimento"/>
    <x v="0"/>
    <n v="0"/>
    <n v="0"/>
    <n v="0"/>
  </r>
  <r>
    <x v="4"/>
    <x v="26"/>
    <s v="131 - Comunicação social"/>
    <x v="953"/>
    <n v="0"/>
    <n v="0"/>
    <n v="0"/>
  </r>
  <r>
    <x v="4"/>
    <x v="12"/>
    <s v="211 - Relações diplomáticas"/>
    <x v="0"/>
    <n v="0"/>
    <n v="0"/>
    <n v="0"/>
  </r>
  <r>
    <x v="4"/>
    <x v="0"/>
    <s v="123 - Administração financeira"/>
    <x v="954"/>
    <n v="122495865.91"/>
    <n v="122495865.91"/>
    <n v="18351073.510000002"/>
  </r>
  <r>
    <x v="4"/>
    <x v="16"/>
    <s v="333 - Empregabilidade"/>
    <x v="0"/>
    <n v="0"/>
    <n v="0"/>
    <n v="38880"/>
  </r>
  <r>
    <x v="4"/>
    <x v="8"/>
    <s v="301 - Atenção básica"/>
    <x v="0"/>
    <n v="0"/>
    <n v="0"/>
    <n v="0"/>
  </r>
  <r>
    <x v="4"/>
    <x v="10"/>
    <s v="665 - Normalização e qualidade"/>
    <x v="0"/>
    <n v="0"/>
    <n v="0"/>
    <n v="880.91"/>
  </r>
  <r>
    <x v="4"/>
    <x v="26"/>
    <s v="846 - Outros encargos especiais"/>
    <x v="0"/>
    <n v="15705203.449999999"/>
    <n v="15713975.65"/>
    <n v="0"/>
  </r>
  <r>
    <x v="4"/>
    <x v="6"/>
    <s v="846 - Outros encargos especiais"/>
    <x v="0"/>
    <n v="0"/>
    <n v="0"/>
    <n v="13373.42"/>
  </r>
  <r>
    <x v="4"/>
    <x v="5"/>
    <s v="127 - Ordenamento territorial"/>
    <x v="0"/>
    <n v="0"/>
    <n v="0"/>
    <n v="405540.2"/>
  </r>
  <r>
    <x v="4"/>
    <x v="4"/>
    <s v="846 - Outros encargos especiais"/>
    <x v="0"/>
    <n v="4400512.58"/>
    <n v="4377510.96"/>
    <n v="0"/>
  </r>
  <r>
    <x v="4"/>
    <x v="7"/>
    <s v="306 - Alimentação e nutrição"/>
    <x v="955"/>
    <n v="57180.87"/>
    <n v="57180.87"/>
    <n v="26589"/>
  </r>
  <r>
    <x v="4"/>
    <x v="6"/>
    <s v="691 - Promoção comercial"/>
    <x v="0"/>
    <n v="0"/>
    <n v="0"/>
    <n v="72456.850000000006"/>
  </r>
  <r>
    <x v="4"/>
    <x v="9"/>
    <s v="846 - Outros encargos especiais"/>
    <x v="0"/>
    <n v="26829554.120000001"/>
    <n v="26829554.120000001"/>
    <n v="0"/>
  </r>
  <r>
    <x v="4"/>
    <x v="5"/>
    <s v="846 - Outros encargos especiais"/>
    <x v="0"/>
    <n v="15861186.539999999"/>
    <n v="15861186.539999999"/>
    <n v="0"/>
  </r>
  <r>
    <x v="4"/>
    <x v="12"/>
    <s v="131 - Comunicação social"/>
    <x v="0"/>
    <n v="13308883.52"/>
    <n v="13308883.52"/>
    <n v="4706305.71"/>
  </r>
  <r>
    <x v="4"/>
    <x v="2"/>
    <s v="846 - Outros encargos especiais"/>
    <x v="956"/>
    <n v="13129722.279999999"/>
    <n v="13129722.279999999"/>
    <n v="0"/>
  </r>
  <r>
    <x v="4"/>
    <x v="12"/>
    <s v="571 - Desenvolvimento científico"/>
    <x v="0"/>
    <n v="1584026.42"/>
    <n v="1584026.42"/>
    <n v="0"/>
  </r>
  <r>
    <x v="4"/>
    <x v="19"/>
    <s v="452 - Serviços urbanos"/>
    <x v="0"/>
    <n v="0"/>
    <n v="0"/>
    <n v="0"/>
  </r>
  <r>
    <x v="4"/>
    <x v="3"/>
    <s v="121 - Planejamento e orçamento"/>
    <x v="957"/>
    <n v="0"/>
    <n v="0"/>
    <n v="100000"/>
  </r>
  <r>
    <x v="4"/>
    <x v="5"/>
    <s v="363 - Ensino profissional"/>
    <x v="0"/>
    <n v="0"/>
    <n v="0"/>
    <n v="1800"/>
  </r>
  <r>
    <x v="4"/>
    <x v="2"/>
    <s v="301 - Atenção básica"/>
    <x v="0"/>
    <n v="0"/>
    <n v="0"/>
    <n v="0"/>
  </r>
  <r>
    <x v="4"/>
    <x v="13"/>
    <s v="126 - Tecnologia da informação"/>
    <x v="958"/>
    <n v="8289137.1399999997"/>
    <n v="8289137.1399999997"/>
    <n v="0"/>
  </r>
  <r>
    <x v="4"/>
    <x v="4"/>
    <s v="753 - Combustíveis"/>
    <x v="0"/>
    <n v="227312.5"/>
    <n v="227312.5"/>
    <n v="0"/>
  </r>
  <r>
    <x v="4"/>
    <x v="21"/>
    <s v="691 - Promoção comercial"/>
    <x v="0"/>
    <n v="0"/>
    <n v="0"/>
    <n v="200000000"/>
  </r>
  <r>
    <x v="4"/>
    <x v="7"/>
    <s v="846 - Outros encargos especiais"/>
    <x v="959"/>
    <n v="82963879.709999993"/>
    <n v="82963879.709999993"/>
    <n v="0"/>
  </r>
  <r>
    <x v="4"/>
    <x v="13"/>
    <s v="511 - Saneamento básico rural"/>
    <x v="960"/>
    <n v="1307.3800000000001"/>
    <n v="1307.3800000000001"/>
    <n v="3354"/>
  </r>
  <r>
    <x v="4"/>
    <x v="3"/>
    <s v="541 - Preservação e conservação ambiental"/>
    <x v="961"/>
    <n v="19249.34"/>
    <n v="19249.34"/>
    <n v="0"/>
  </r>
  <r>
    <x v="4"/>
    <x v="21"/>
    <s v="301 - Atenção básica"/>
    <x v="0"/>
    <n v="0"/>
    <n v="0"/>
    <n v="22934.28"/>
  </r>
  <r>
    <x v="4"/>
    <x v="14"/>
    <s v="131 - Comunicação social"/>
    <x v="962"/>
    <n v="0"/>
    <n v="0"/>
    <n v="128619.52"/>
  </r>
  <r>
    <x v="4"/>
    <x v="21"/>
    <s v="813 - Lazer"/>
    <x v="0"/>
    <n v="0"/>
    <n v="0"/>
    <n v="142860.81"/>
  </r>
  <r>
    <x v="4"/>
    <x v="18"/>
    <s v="572 - Desenvolvimento tecnológico e engenharia"/>
    <x v="963"/>
    <n v="3531343.15"/>
    <n v="3531343.15"/>
    <n v="0"/>
  </r>
  <r>
    <x v="4"/>
    <x v="4"/>
    <s v="130 - Administração de concessões"/>
    <x v="964"/>
    <n v="342497.34"/>
    <n v="330344.8"/>
    <n v="70503.009999999995"/>
  </r>
  <r>
    <x v="4"/>
    <x v="18"/>
    <s v="846 - Outros encargos especiais"/>
    <x v="0"/>
    <n v="4227757.58"/>
    <n v="4227757.58"/>
    <n v="0"/>
  </r>
  <r>
    <x v="4"/>
    <x v="7"/>
    <s v="131 - Comunicação social"/>
    <x v="965"/>
    <n v="15431910.59"/>
    <n v="17114064.870000001"/>
    <n v="6172941.25"/>
  </r>
  <r>
    <x v="4"/>
    <x v="2"/>
    <s v="128 - Formação de recursos humanos"/>
    <x v="966"/>
    <n v="225470.67"/>
    <n v="214843.66"/>
    <n v="0"/>
  </r>
  <r>
    <x v="4"/>
    <x v="9"/>
    <s v="062 - Defesa do interesse público no processo judiciário"/>
    <x v="0"/>
    <n v="28939.97"/>
    <n v="28939.97"/>
    <n v="73333.320000000007"/>
  </r>
  <r>
    <x v="4"/>
    <x v="8"/>
    <s v="244 - Assistência comunitária"/>
    <x v="967"/>
    <n v="156013547"/>
    <n v="156013547"/>
    <n v="0"/>
  </r>
  <r>
    <x v="4"/>
    <x v="10"/>
    <s v="301 - Atenção básica"/>
    <x v="0"/>
    <n v="0"/>
    <n v="0"/>
    <n v="59279.34"/>
  </r>
  <r>
    <x v="4"/>
    <x v="20"/>
    <s v="366 - Educação de jovens e adultos"/>
    <x v="968"/>
    <n v="25432.28"/>
    <n v="25432.28"/>
    <n v="188451.24"/>
  </r>
  <r>
    <x v="4"/>
    <x v="4"/>
    <s v="751 - Conservação de energia"/>
    <x v="969"/>
    <n v="1663480.36"/>
    <n v="1617368.52"/>
    <n v="0"/>
  </r>
  <r>
    <x v="4"/>
    <x v="1"/>
    <s v="846 - Outros encargos especiais"/>
    <x v="0"/>
    <n v="114275131.65000001"/>
    <n v="114275131.65000001"/>
    <n v="0"/>
  </r>
  <r>
    <x v="4"/>
    <x v="3"/>
    <s v="542 - Controle ambiental"/>
    <x v="970"/>
    <n v="67611.03"/>
    <n v="68837.14"/>
    <n v="270800"/>
  </r>
  <r>
    <x v="4"/>
    <x v="23"/>
    <s v="846 - Outros encargos especiais"/>
    <x v="971"/>
    <n v="14835494.43"/>
    <n v="14779384.869999999"/>
    <n v="0"/>
  </r>
  <r>
    <x v="4"/>
    <x v="12"/>
    <s v="129 - Administração de receitas"/>
    <x v="0"/>
    <n v="0"/>
    <n v="0"/>
    <n v="8108.29"/>
  </r>
  <r>
    <x v="4"/>
    <x v="12"/>
    <s v="662 - Produção industrial"/>
    <x v="972"/>
    <n v="3987682.95"/>
    <n v="3914033.2"/>
    <n v="352150.55"/>
  </r>
  <r>
    <x v="4"/>
    <x v="0"/>
    <s v="131 - Comunicação social"/>
    <x v="973"/>
    <n v="163645.16"/>
    <n v="169100.27"/>
    <n v="91358.29"/>
  </r>
  <r>
    <x v="4"/>
    <x v="3"/>
    <s v="301 - Atenção básica"/>
    <x v="0"/>
    <n v="0"/>
    <n v="0"/>
    <n v="12784.42"/>
  </r>
  <r>
    <x v="4"/>
    <x v="23"/>
    <s v="573 - Difusão do conhecimento científico e tecnológico"/>
    <x v="974"/>
    <n v="56561.3"/>
    <n v="44017.68"/>
    <n v="0"/>
  </r>
  <r>
    <x v="4"/>
    <x v="8"/>
    <s v="422 - Direitos individuais, coletivos e difusos"/>
    <x v="975"/>
    <n v="35619.839999999997"/>
    <n v="28156.67"/>
    <n v="0"/>
  </r>
  <r>
    <x v="4"/>
    <x v="4"/>
    <s v="665 - Normalização e qualidade"/>
    <x v="976"/>
    <n v="84391.74"/>
    <n v="84391.74"/>
    <n v="203305.73"/>
  </r>
  <r>
    <x v="4"/>
    <x v="26"/>
    <s v="128 - Formação de recursos humanos"/>
    <x v="0"/>
    <n v="0"/>
    <n v="0"/>
    <n v="36506.36"/>
  </r>
  <r>
    <x v="4"/>
    <x v="2"/>
    <s v="573 - Difusão do conhecimento científico e tecnológico"/>
    <x v="977"/>
    <n v="751558.55"/>
    <n v="728745.33"/>
    <n v="243778.32"/>
  </r>
  <r>
    <x v="4"/>
    <x v="15"/>
    <s v="122 - Administração geral"/>
    <x v="978"/>
    <n v="12818.01"/>
    <n v="17195.740000000002"/>
    <n v="16084.83"/>
  </r>
  <r>
    <x v="4"/>
    <x v="3"/>
    <s v="128 - Formação de recursos humanos"/>
    <x v="979"/>
    <n v="403461.64"/>
    <n v="403461.64"/>
    <n v="0"/>
  </r>
  <r>
    <x v="4"/>
    <x v="10"/>
    <s v="845 - Outras transferências"/>
    <x v="980"/>
    <n v="129138916.20999999"/>
    <n v="128891623.66"/>
    <n v="0"/>
  </r>
  <r>
    <x v="4"/>
    <x v="18"/>
    <s v="301 - Atenção básica"/>
    <x v="0"/>
    <n v="0"/>
    <n v="0"/>
    <n v="17792.32"/>
  </r>
  <r>
    <x v="4"/>
    <x v="9"/>
    <s v="122 - Administração geral"/>
    <x v="981"/>
    <n v="313941.96999999997"/>
    <n v="236610.86"/>
    <n v="0"/>
  </r>
  <r>
    <x v="4"/>
    <x v="16"/>
    <s v="664 - Propriedade industrial"/>
    <x v="982"/>
    <n v="1725057.19"/>
    <n v="1724868.91"/>
    <n v="0"/>
  </r>
  <r>
    <x v="4"/>
    <x v="14"/>
    <s v="211 - Relações diplomáticas"/>
    <x v="0"/>
    <n v="398457.55"/>
    <n v="398457.55"/>
    <n v="0"/>
  </r>
  <r>
    <x v="4"/>
    <x v="10"/>
    <s v="092 - Representação judicial e extrajudicial"/>
    <x v="983"/>
    <n v="6267145.0899999999"/>
    <n v="6280606.7699999996"/>
    <n v="0"/>
  </r>
  <r>
    <x v="4"/>
    <x v="11"/>
    <s v="841 - Refinanciamento da dívida interna"/>
    <x v="984"/>
    <n v="163357964020.14999"/>
    <n v="163357964020.14999"/>
    <n v="0"/>
  </r>
  <r>
    <x v="4"/>
    <x v="12"/>
    <s v="422 - Direitos individuais, coletivos e difusos"/>
    <x v="985"/>
    <n v="65119.05"/>
    <n v="35159.42"/>
    <n v="0"/>
  </r>
  <r>
    <x v="4"/>
    <x v="7"/>
    <s v="391 - Patrimônio histórico, artístico e arqueológico"/>
    <x v="986"/>
    <n v="251444.89"/>
    <n v="244864.59"/>
    <n v="373415.82"/>
  </r>
  <r>
    <x v="4"/>
    <x v="16"/>
    <s v="301 - Atenção básica"/>
    <x v="0"/>
    <n v="0"/>
    <n v="0"/>
    <n v="3380.8"/>
  </r>
  <r>
    <x v="4"/>
    <x v="13"/>
    <s v="122 - Administração geral"/>
    <x v="987"/>
    <n v="4684145.4400000004"/>
    <n v="4663582.96"/>
    <n v="0"/>
  </r>
  <r>
    <x v="4"/>
    <x v="11"/>
    <s v="844 - Serviço da dívida externa"/>
    <x v="988"/>
    <n v="1322078832.8199999"/>
    <n v="1322078832.8199999"/>
    <n v="0"/>
  </r>
  <r>
    <x v="4"/>
    <x v="15"/>
    <s v="032 - Controle externo"/>
    <x v="0"/>
    <n v="0"/>
    <n v="0"/>
    <n v="15800"/>
  </r>
  <r>
    <x v="4"/>
    <x v="22"/>
    <s v="126 - Tecnologia da informação"/>
    <x v="989"/>
    <n v="12955662.609999999"/>
    <n v="1224310.1200000001"/>
    <n v="32198519.649999999"/>
  </r>
  <r>
    <x v="4"/>
    <x v="10"/>
    <s v="125 - Normatização e fiscalização"/>
    <x v="990"/>
    <n v="221377.63"/>
    <n v="26263.81"/>
    <n v="0"/>
  </r>
  <r>
    <x v="4"/>
    <x v="22"/>
    <s v="334 - Fomento ao trabalho"/>
    <x v="991"/>
    <n v="1706245018.9100001"/>
    <n v="1706245018.9100001"/>
    <n v="2393.63"/>
  </r>
  <r>
    <x v="4"/>
    <x v="24"/>
    <s v="031 - Ação legislativa"/>
    <x v="0"/>
    <n v="0"/>
    <n v="0"/>
    <n v="4956.05"/>
  </r>
  <r>
    <x v="4"/>
    <x v="0"/>
    <s v="694 - Serviços financeiros"/>
    <x v="0"/>
    <n v="423573520.81"/>
    <n v="423582949.70999998"/>
    <n v="420135.61"/>
  </r>
  <r>
    <x v="4"/>
    <x v="24"/>
    <s v="032 - Controle externo"/>
    <x v="992"/>
    <n v="229527.46"/>
    <n v="225344.54"/>
    <n v="0"/>
  </r>
  <r>
    <x v="4"/>
    <x v="4"/>
    <s v="128 - Formação de recursos humanos"/>
    <x v="993"/>
    <n v="385339.57"/>
    <n v="390344.31"/>
    <n v="0"/>
  </r>
  <r>
    <x v="4"/>
    <x v="23"/>
    <s v="695 - Turismo"/>
    <x v="0"/>
    <n v="0"/>
    <n v="0"/>
    <n v="204578.76"/>
  </r>
  <r>
    <x v="4"/>
    <x v="26"/>
    <s v="130 - Administração de concessões"/>
    <x v="994"/>
    <n v="49296.78"/>
    <n v="49296.78"/>
    <n v="0"/>
  </r>
  <r>
    <x v="4"/>
    <x v="18"/>
    <s v="131 - Comunicação social"/>
    <x v="995"/>
    <n v="0"/>
    <n v="0"/>
    <n v="17390774.140000001"/>
  </r>
  <r>
    <x v="4"/>
    <x v="16"/>
    <s v="665 - Normalização e qualidade"/>
    <x v="996"/>
    <n v="614019.34"/>
    <n v="554864.12"/>
    <n v="21868"/>
  </r>
  <r>
    <x v="4"/>
    <x v="3"/>
    <s v="846 - Outros encargos especiais"/>
    <x v="1"/>
    <n v="15142693.73"/>
    <n v="15138342.289999999"/>
    <n v="0"/>
  </r>
  <r>
    <x v="4"/>
    <x v="5"/>
    <s v="606 - Extensão rural"/>
    <x v="0"/>
    <n v="0"/>
    <n v="0"/>
    <n v="2893960.13"/>
  </r>
  <r>
    <x v="4"/>
    <x v="3"/>
    <s v="212 - Cooperação internacional"/>
    <x v="997"/>
    <n v="319563.81"/>
    <n v="319563.81"/>
    <n v="275526.78999999998"/>
  </r>
  <r>
    <x v="4"/>
    <x v="8"/>
    <s v="606 - Extensão rural"/>
    <x v="998"/>
    <n v="0"/>
    <n v="0"/>
    <n v="950000"/>
  </r>
  <r>
    <x v="4"/>
    <x v="18"/>
    <s v="422 - Direitos individuais, coletivos e difusos"/>
    <x v="999"/>
    <n v="1109214.24"/>
    <n v="1093427.8999999999"/>
    <n v="0"/>
  </r>
  <r>
    <x v="4"/>
    <x v="0"/>
    <s v="366 - Educação de jovens e adultos"/>
    <x v="1000"/>
    <n v="1333200"/>
    <n v="1333200"/>
    <n v="169532.22"/>
  </r>
  <r>
    <x v="4"/>
    <x v="16"/>
    <s v="571 - Desenvolvimento científico"/>
    <x v="1001"/>
    <n v="37602.03"/>
    <n v="0"/>
    <n v="0"/>
  </r>
  <r>
    <x v="4"/>
    <x v="5"/>
    <s v="301 - Atenção básica"/>
    <x v="0"/>
    <n v="0"/>
    <n v="0"/>
    <n v="8513885.2200000007"/>
  </r>
  <r>
    <x v="4"/>
    <x v="16"/>
    <s v="846 - Outros encargos especiais"/>
    <x v="1002"/>
    <n v="8820080.8699999992"/>
    <n v="8813935.0600000005"/>
    <n v="0"/>
  </r>
  <r>
    <x v="4"/>
    <x v="10"/>
    <s v="124 - Controle interno"/>
    <x v="1003"/>
    <n v="575469.84"/>
    <n v="625776.92000000004"/>
    <n v="0"/>
  </r>
  <r>
    <x v="4"/>
    <x v="20"/>
    <s v="131 - Comunicação social"/>
    <x v="1004"/>
    <n v="70832.679999999993"/>
    <n v="75885.679999999993"/>
    <n v="56862.720000000001"/>
  </r>
  <r>
    <x v="4"/>
    <x v="5"/>
    <s v="541 - Preservação e conservação ambiental"/>
    <x v="1005"/>
    <n v="-13754.7"/>
    <n v="-13754.7"/>
    <n v="1456500"/>
  </r>
  <r>
    <x v="4"/>
    <x v="20"/>
    <s v="302 - Assistência hospitalar e ambulatorial"/>
    <x v="1006"/>
    <n v="3665650.78"/>
    <n v="3651904.48"/>
    <n v="790534.35"/>
  </r>
  <r>
    <x v="4"/>
    <x v="13"/>
    <s v="331 - Proteção e benefícios ao trabalhador"/>
    <x v="0"/>
    <n v="0"/>
    <n v="0"/>
    <n v="7893"/>
  </r>
  <r>
    <x v="4"/>
    <x v="23"/>
    <s v="331 - Proteção e benefícios ao trabalhador"/>
    <x v="1007"/>
    <n v="5198106.87"/>
    <n v="5205260.37"/>
    <n v="0"/>
  </r>
  <r>
    <x v="4"/>
    <x v="23"/>
    <s v="512 - Saneamento básico urbano"/>
    <x v="1008"/>
    <n v="81561.77"/>
    <n v="86625.52"/>
    <n v="242431"/>
  </r>
  <r>
    <x v="4"/>
    <x v="7"/>
    <s v="121 - Planejamento e orçamento"/>
    <x v="1009"/>
    <n v="36156.89"/>
    <n v="33405.01"/>
    <n v="474375"/>
  </r>
  <r>
    <x v="4"/>
    <x v="6"/>
    <s v="122 - Administração geral"/>
    <x v="1010"/>
    <n v="289206.95"/>
    <n v="306981.46000000002"/>
    <n v="503725.58"/>
  </r>
  <r>
    <x v="4"/>
    <x v="2"/>
    <s v="212 - Cooperação internacional"/>
    <x v="1011"/>
    <n v="1663389.16"/>
    <n v="1676977.04"/>
    <n v="-279.72000000000003"/>
  </r>
  <r>
    <x v="4"/>
    <x v="7"/>
    <s v="573 - Difusão do conhecimento científico e tecnológico"/>
    <x v="1012"/>
    <n v="4807312.38"/>
    <n v="3667937.02"/>
    <n v="863510.66"/>
  </r>
  <r>
    <x v="4"/>
    <x v="1"/>
    <s v="422 - Direitos individuais, coletivos e difusos"/>
    <x v="1013"/>
    <n v="0"/>
    <n v="0"/>
    <n v="94588.23"/>
  </r>
  <r>
    <x v="4"/>
    <x v="23"/>
    <s v="571 - Desenvolvimento científico"/>
    <x v="1014"/>
    <n v="69726.83"/>
    <n v="129725.81"/>
    <n v="57818.83"/>
  </r>
  <r>
    <x v="4"/>
    <x v="20"/>
    <s v="333 - Empregabilidade"/>
    <x v="1015"/>
    <n v="0"/>
    <n v="0"/>
    <n v="160790.75"/>
  </r>
  <r>
    <x v="4"/>
    <x v="21"/>
    <s v="128 - Formação de recursos humanos"/>
    <x v="1016"/>
    <n v="40971.1"/>
    <n v="41513.49"/>
    <n v="2090"/>
  </r>
  <r>
    <x v="4"/>
    <x v="19"/>
    <s v="301 - Atenção básica"/>
    <x v="0"/>
    <n v="0"/>
    <n v="0"/>
    <n v="1043697.03"/>
  </r>
  <r>
    <x v="4"/>
    <x v="11"/>
    <s v="843 - Serviço da dívida interna"/>
    <x v="1017"/>
    <n v="115854627274.44"/>
    <n v="115854627274.44"/>
    <n v="83371.820000000007"/>
  </r>
  <r>
    <x v="4"/>
    <x v="23"/>
    <s v="128 - Formação de recursos humanos"/>
    <x v="1018"/>
    <n v="64162.58"/>
    <n v="89203.43"/>
    <n v="500000"/>
  </r>
  <r>
    <x v="4"/>
    <x v="15"/>
    <s v="061 - Ação judiciária"/>
    <x v="1019"/>
    <n v="16323.51"/>
    <n v="17673.509999999998"/>
    <n v="114025.21"/>
  </r>
  <r>
    <x v="4"/>
    <x v="10"/>
    <s v="128 - Formação de recursos humanos"/>
    <x v="1020"/>
    <n v="58833.56"/>
    <n v="58713.02"/>
    <n v="0"/>
  </r>
  <r>
    <x v="4"/>
    <x v="6"/>
    <s v="693 - Comércio exterior"/>
    <x v="1021"/>
    <n v="153918349.56"/>
    <n v="153911184.38999999"/>
    <n v="27961863.690000001"/>
  </r>
  <r>
    <x v="4"/>
    <x v="20"/>
    <s v="722 - Telecomunicações"/>
    <x v="1022"/>
    <n v="14149.79"/>
    <n v="3202.95"/>
    <n v="1967301.05"/>
  </r>
  <r>
    <x v="4"/>
    <x v="21"/>
    <s v="125 - Normatização e fiscalização"/>
    <x v="0"/>
    <n v="0"/>
    <n v="0"/>
    <n v="0"/>
  </r>
  <r>
    <x v="4"/>
    <x v="1"/>
    <s v="301 - Atenção básica"/>
    <x v="0"/>
    <n v="0"/>
    <n v="0"/>
    <n v="150"/>
  </r>
  <r>
    <x v="4"/>
    <x v="14"/>
    <s v="846 - Outros encargos especiais"/>
    <x v="1023"/>
    <n v="6575145"/>
    <n v="6575145"/>
    <n v="0"/>
  </r>
  <r>
    <x v="4"/>
    <x v="19"/>
    <s v="846 - Outros encargos especiais"/>
    <x v="1024"/>
    <n v="669800.80000000005"/>
    <n v="2376873.58"/>
    <n v="0"/>
  </r>
  <r>
    <x v="4"/>
    <x v="12"/>
    <s v="123 - Administração financeira"/>
    <x v="1025"/>
    <n v="377084.61"/>
    <n v="378709.11"/>
    <n v="57759.09"/>
  </r>
  <r>
    <x v="4"/>
    <x v="22"/>
    <s v="846 - Outros encargos especiais"/>
    <x v="1026"/>
    <n v="31925867.77"/>
    <n v="31924993.260000002"/>
    <n v="0"/>
  </r>
  <r>
    <x v="4"/>
    <x v="13"/>
    <s v="125 - Normatização e fiscalização"/>
    <x v="1027"/>
    <n v="228234.12"/>
    <n v="196952.68"/>
    <n v="581.5"/>
  </r>
  <r>
    <x v="4"/>
    <x v="11"/>
    <s v="847 - Transferências para a educação básica"/>
    <x v="1028"/>
    <n v="7557756060.0799999"/>
    <n v="7557756060.0799999"/>
    <n v="0"/>
  </r>
  <r>
    <x v="4"/>
    <x v="12"/>
    <s v="301 - Atenção básica"/>
    <x v="0"/>
    <n v="0"/>
    <n v="0"/>
    <n v="2969174.13"/>
  </r>
  <r>
    <x v="4"/>
    <x v="8"/>
    <s v="127 - Ordenamento territorial"/>
    <x v="1029"/>
    <n v="182719.46"/>
    <n v="216607.17"/>
    <n v="9200"/>
  </r>
  <r>
    <x v="4"/>
    <x v="7"/>
    <s v="124 - Controle interno"/>
    <x v="1030"/>
    <n v="25774.12"/>
    <n v="462642.79"/>
    <n v="1117591"/>
  </r>
  <r>
    <x v="4"/>
    <x v="12"/>
    <s v="573 - Difusão do conhecimento científico e tecnológico"/>
    <x v="1031"/>
    <n v="19027.22"/>
    <n v="18492.88"/>
    <n v="242707.37"/>
  </r>
  <r>
    <x v="4"/>
    <x v="18"/>
    <s v="126 - Tecnologia da informação"/>
    <x v="1032"/>
    <n v="4942947.46"/>
    <n v="4942947.46"/>
    <n v="1413735.41"/>
  </r>
  <r>
    <x v="4"/>
    <x v="8"/>
    <s v="608 - Promoção da produção agropecuária"/>
    <x v="1033"/>
    <n v="3026593.74"/>
    <n v="3253593.74"/>
    <n v="0"/>
  </r>
  <r>
    <x v="4"/>
    <x v="3"/>
    <s v="331 - Proteção e benefícios ao trabalhador"/>
    <x v="1034"/>
    <n v="7389213.0099999998"/>
    <n v="7367249.7000000002"/>
    <n v="0"/>
  </r>
  <r>
    <x v="4"/>
    <x v="19"/>
    <s v="131 - Comunicação social"/>
    <x v="1035"/>
    <n v="0"/>
    <n v="0"/>
    <n v="2196.65"/>
  </r>
  <r>
    <x v="4"/>
    <x v="12"/>
    <s v="126 - Tecnologia da informação"/>
    <x v="1036"/>
    <n v="137162458.18000001"/>
    <n v="36373244.590000004"/>
    <n v="16294542.85"/>
  </r>
  <r>
    <x v="4"/>
    <x v="8"/>
    <s v="846 - Outros encargos especiais"/>
    <x v="0"/>
    <n v="6307820.8399999999"/>
    <n v="6307820.8399999999"/>
    <n v="0"/>
  </r>
  <r>
    <x v="4"/>
    <x v="16"/>
    <s v="125 - Normatização e fiscalização"/>
    <x v="1037"/>
    <n v="34557884.840000004"/>
    <n v="34679385.520000003"/>
    <n v="349099.34"/>
  </r>
  <r>
    <x v="4"/>
    <x v="22"/>
    <s v="571 - Desenvolvimento científico"/>
    <x v="1038"/>
    <n v="40718.730000000003"/>
    <n v="48139.24"/>
    <n v="86130.44"/>
  </r>
  <r>
    <x v="4"/>
    <x v="6"/>
    <s v="695 - Turismo"/>
    <x v="1039"/>
    <n v="632470.79"/>
    <n v="631873.76"/>
    <n v="7662993.7400000002"/>
  </r>
  <r>
    <x v="4"/>
    <x v="12"/>
    <s v="608 - Promoção da produção agropecuária"/>
    <x v="0"/>
    <n v="0"/>
    <n v="0"/>
    <n v="93070.94"/>
  </r>
  <r>
    <x v="4"/>
    <x v="0"/>
    <s v="847 - Transferências para a educação básica"/>
    <x v="1040"/>
    <n v="2952271686.5"/>
    <n v="2952271686.5"/>
    <n v="791413.94"/>
  </r>
  <r>
    <x v="4"/>
    <x v="16"/>
    <s v="211 - Relações diplomáticas"/>
    <x v="1041"/>
    <n v="38731"/>
    <n v="38731"/>
    <n v="0"/>
  </r>
  <r>
    <x v="4"/>
    <x v="4"/>
    <s v="121 - Planejamento e orçamento"/>
    <x v="1042"/>
    <n v="86007.29"/>
    <n v="86167.46"/>
    <n v="0"/>
  </r>
  <r>
    <x v="4"/>
    <x v="7"/>
    <s v="304 - Vigilância sanitária"/>
    <x v="1043"/>
    <n v="23992003.57"/>
    <n v="24538580.420000002"/>
    <n v="804853.24"/>
  </r>
  <r>
    <x v="4"/>
    <x v="21"/>
    <s v="846 - Outros encargos especiais"/>
    <x v="1044"/>
    <n v="4331351.4000000004"/>
    <n v="6750454.3700000001"/>
    <n v="0"/>
  </r>
  <r>
    <x v="4"/>
    <x v="20"/>
    <s v="126 - Tecnologia da informação"/>
    <x v="1045"/>
    <n v="707599.35999999999"/>
    <n v="683077.18"/>
    <n v="6439745.8399999999"/>
  </r>
  <r>
    <x v="4"/>
    <x v="0"/>
    <s v="301 - Atenção básica"/>
    <x v="0"/>
    <n v="0"/>
    <n v="0"/>
    <n v="474772.39"/>
  </r>
  <r>
    <x v="4"/>
    <x v="10"/>
    <s v="126 - Tecnologia da informação"/>
    <x v="1046"/>
    <n v="82199500.629999995"/>
    <n v="79213636.920000002"/>
    <n v="7090002.54"/>
  </r>
  <r>
    <x v="4"/>
    <x v="3"/>
    <s v="691 - Promoção comercial"/>
    <x v="0"/>
    <n v="0"/>
    <n v="0"/>
    <n v="1241057.73"/>
  </r>
  <r>
    <x v="4"/>
    <x v="13"/>
    <s v="243 - Assistência à criança e ao adolescente"/>
    <x v="1047"/>
    <n v="36539150.450000003"/>
    <n v="33603961.259999998"/>
    <n v="0"/>
  </r>
  <r>
    <x v="4"/>
    <x v="20"/>
    <s v="781 - Transporte aéreo"/>
    <x v="1048"/>
    <n v="512891.92"/>
    <n v="522773.92"/>
    <n v="118592.1"/>
  </r>
  <r>
    <x v="4"/>
    <x v="17"/>
    <s v="482 - Habitação urbana"/>
    <x v="0"/>
    <n v="0"/>
    <n v="0"/>
    <n v="783230.75"/>
  </r>
  <r>
    <x v="4"/>
    <x v="7"/>
    <s v="125 - Normatização e fiscalização"/>
    <x v="1049"/>
    <n v="1404021.15"/>
    <n v="1404532.03"/>
    <n v="621100.91"/>
  </r>
  <r>
    <x v="4"/>
    <x v="20"/>
    <s v="364 - Ensino superior"/>
    <x v="1050"/>
    <n v="316385.42"/>
    <n v="287353.32"/>
    <n v="690448.11"/>
  </r>
  <r>
    <x v="4"/>
    <x v="22"/>
    <s v="333 - Empregabilidade"/>
    <x v="1051"/>
    <n v="18650.8"/>
    <n v="18650.8"/>
    <n v="2604887.14"/>
  </r>
  <r>
    <x v="4"/>
    <x v="12"/>
    <s v="391 - Patrimônio histórico, artístico e arqueológico"/>
    <x v="1052"/>
    <n v="2589590.61"/>
    <n v="1980968.73"/>
    <n v="30710.33"/>
  </r>
  <r>
    <x v="4"/>
    <x v="9"/>
    <s v="331 - Proteção e benefícios ao trabalhador"/>
    <x v="0"/>
    <n v="9051683.4499999993"/>
    <n v="11909027.529999999"/>
    <n v="0"/>
  </r>
  <r>
    <x v="4"/>
    <x v="13"/>
    <s v="241 - Assistência ao idoso"/>
    <x v="1053"/>
    <n v="3266505635.9499998"/>
    <n v="3236459363.4699998"/>
    <n v="0"/>
  </r>
  <r>
    <x v="4"/>
    <x v="26"/>
    <s v="126 - Tecnologia da informação"/>
    <x v="1054"/>
    <n v="11795335.49"/>
    <n v="11727022.220000001"/>
    <n v="6929283.1900000004"/>
  </r>
  <r>
    <x v="4"/>
    <x v="21"/>
    <s v="391 - Patrimônio histórico, artístico e arqueológico"/>
    <x v="1055"/>
    <n v="594927.35999999999"/>
    <n v="555267.07999999996"/>
    <n v="1932400.02"/>
  </r>
  <r>
    <x v="4"/>
    <x v="7"/>
    <s v="422 - Direitos individuais, coletivos e difusos"/>
    <x v="0"/>
    <n v="0"/>
    <n v="0"/>
    <n v="435000"/>
  </r>
  <r>
    <x v="4"/>
    <x v="7"/>
    <s v="572 - Desenvolvimento tecnológico e engenharia"/>
    <x v="1056"/>
    <n v="2997548.45"/>
    <n v="2941039.79"/>
    <n v="9987566.4199999999"/>
  </r>
  <r>
    <x v="4"/>
    <x v="26"/>
    <s v="781 - Transporte aéreo"/>
    <x v="1057"/>
    <n v="5295973"/>
    <n v="5295973"/>
    <n v="9664243.1699999999"/>
  </r>
  <r>
    <x v="4"/>
    <x v="0"/>
    <s v="846 - Outros encargos especiais"/>
    <x v="1058"/>
    <n v="674593146.71000004"/>
    <n v="674732822.25999999"/>
    <n v="660191.96"/>
  </r>
  <r>
    <x v="4"/>
    <x v="26"/>
    <s v="783 - Transporte ferroviário"/>
    <x v="1059"/>
    <n v="676965.04"/>
    <n v="729747.43"/>
    <n v="10816174.48"/>
  </r>
  <r>
    <x v="4"/>
    <x v="26"/>
    <s v="331 - Proteção e benefícios ao trabalhador"/>
    <x v="1060"/>
    <n v="7931789.5300000003"/>
    <n v="7894140.5199999996"/>
    <n v="0"/>
  </r>
  <r>
    <x v="4"/>
    <x v="20"/>
    <s v="846 - Outros encargos especiais"/>
    <x v="1061"/>
    <n v="20493523.579999998"/>
    <n v="20493523.579999998"/>
    <n v="0"/>
  </r>
  <r>
    <x v="4"/>
    <x v="5"/>
    <s v="331 - Proteção e benefícios ao trabalhador"/>
    <x v="1062"/>
    <n v="15670433.869999999"/>
    <n v="15583309.800000001"/>
    <n v="0"/>
  </r>
  <r>
    <x v="4"/>
    <x v="17"/>
    <s v="451 - infra-estrutura urbana"/>
    <x v="0"/>
    <n v="0"/>
    <n v="0"/>
    <n v="1188259.3500000001"/>
  </r>
  <r>
    <x v="4"/>
    <x v="18"/>
    <s v="722 - Telecomunicações"/>
    <x v="1063"/>
    <n v="16183135.800000001"/>
    <n v="20868791.609999999"/>
    <n v="11010070.380000001"/>
  </r>
  <r>
    <x v="4"/>
    <x v="4"/>
    <s v="331 - Proteção e benefícios ao trabalhador"/>
    <x v="1064"/>
    <n v="2461719.87"/>
    <n v="2520181.0699999998"/>
    <n v="0"/>
  </r>
  <r>
    <x v="4"/>
    <x v="16"/>
    <s v="126 - Tecnologia da informação"/>
    <x v="1065"/>
    <n v="2810806.73"/>
    <n v="2490899.5"/>
    <n v="64538.68"/>
  </r>
  <r>
    <x v="4"/>
    <x v="12"/>
    <s v="364 - Ensino superior"/>
    <x v="1066"/>
    <n v="77019.27"/>
    <n v="50323.87"/>
    <n v="37.9"/>
  </r>
  <r>
    <x v="4"/>
    <x v="0"/>
    <s v="573 - Difusão do conhecimento científico e tecnológico"/>
    <x v="1067"/>
    <n v="4882194.6100000003"/>
    <n v="4880846.92"/>
    <n v="753980.26"/>
  </r>
  <r>
    <x v="4"/>
    <x v="8"/>
    <s v="363 - Ensino profissional"/>
    <x v="1068"/>
    <n v="540303.81000000006"/>
    <n v="1519141.69"/>
    <n v="1616908.63"/>
  </r>
  <r>
    <x v="4"/>
    <x v="20"/>
    <s v="244 - Assistência comunitária"/>
    <x v="1069"/>
    <n v="493316.31"/>
    <n v="449059.18"/>
    <n v="39764132.149999999"/>
  </r>
  <r>
    <x v="4"/>
    <x v="4"/>
    <s v="125 - Normatização e fiscalização"/>
    <x v="1070"/>
    <n v="8137962.1699999999"/>
    <n v="9632467.2100000009"/>
    <n v="4670998.74"/>
  </r>
  <r>
    <x v="4"/>
    <x v="5"/>
    <s v="545 - Meteorologia"/>
    <x v="1071"/>
    <n v="800624.62"/>
    <n v="794709.21"/>
    <n v="24992.880000000001"/>
  </r>
  <r>
    <x v="4"/>
    <x v="20"/>
    <s v="121 - Planejamento e orçamento"/>
    <x v="1072"/>
    <n v="23803.35"/>
    <n v="28462.35"/>
    <n v="10.35"/>
  </r>
  <r>
    <x v="4"/>
    <x v="10"/>
    <s v="122 - Administração geral"/>
    <x v="1073"/>
    <n v="213673095.81"/>
    <n v="169652926.93000001"/>
    <n v="3441195.22"/>
  </r>
  <r>
    <x v="4"/>
    <x v="4"/>
    <s v="752 - Energia elétrica"/>
    <x v="1074"/>
    <n v="1842500.37"/>
    <n v="1870019.12"/>
    <n v="11862.18"/>
  </r>
  <r>
    <x v="4"/>
    <x v="19"/>
    <s v="128 - Formação de recursos humanos"/>
    <x v="1075"/>
    <n v="85038"/>
    <n v="77055.77"/>
    <n v="60922.41"/>
  </r>
  <r>
    <x v="4"/>
    <x v="26"/>
    <s v="301 - Atenção básica"/>
    <x v="0"/>
    <n v="0"/>
    <n v="0"/>
    <n v="-10089.14"/>
  </r>
  <r>
    <x v="4"/>
    <x v="23"/>
    <s v="125 - Normatização e fiscalização"/>
    <x v="1076"/>
    <n v="24591360.789999999"/>
    <n v="20951018.77"/>
    <n v="8336766.29"/>
  </r>
  <r>
    <x v="4"/>
    <x v="3"/>
    <s v="125 - Normatização e fiscalização"/>
    <x v="1077"/>
    <n v="54934.17"/>
    <n v="54934.17"/>
    <n v="85163.72"/>
  </r>
  <r>
    <x v="4"/>
    <x v="7"/>
    <s v="512 - Saneamento básico urbano"/>
    <x v="1078"/>
    <n v="0"/>
    <n v="0"/>
    <n v="3901.92"/>
  </r>
  <r>
    <x v="4"/>
    <x v="19"/>
    <s v="122 - Administração geral"/>
    <x v="1079"/>
    <n v="58237407.869999997"/>
    <n v="60740024.649999999"/>
    <n v="230608.71"/>
  </r>
  <r>
    <x v="4"/>
    <x v="16"/>
    <s v="331 - Proteção e benefícios ao trabalhador"/>
    <x v="1080"/>
    <n v="6292352.8399999999"/>
    <n v="6308051.9800000004"/>
    <n v="0"/>
  </r>
  <r>
    <x v="4"/>
    <x v="23"/>
    <s v="543 - Recuperação de áreas degradadas"/>
    <x v="1081"/>
    <n v="423514.02"/>
    <n v="386843.82"/>
    <n v="323923.81"/>
  </r>
  <r>
    <x v="4"/>
    <x v="20"/>
    <s v="303 - Suporte profilático e terapêutico"/>
    <x v="0"/>
    <n v="58000.42"/>
    <n v="0"/>
    <n v="0"/>
  </r>
  <r>
    <x v="4"/>
    <x v="13"/>
    <s v="242 - Assistência ao portador de deficiência"/>
    <x v="1082"/>
    <n v="4043668293.1999998"/>
    <n v="4002840894.4499998"/>
    <n v="0"/>
  </r>
  <r>
    <x v="4"/>
    <x v="12"/>
    <s v="722 - Telecomunicações"/>
    <x v="1083"/>
    <n v="10445137.75"/>
    <n v="7818440.9199999999"/>
    <n v="0"/>
  </r>
  <r>
    <x v="4"/>
    <x v="4"/>
    <s v="572 - Desenvolvimento tecnológico e engenharia"/>
    <x v="1084"/>
    <n v="6600759.46"/>
    <n v="7616857.4500000002"/>
    <n v="390115.34"/>
  </r>
  <r>
    <x v="4"/>
    <x v="3"/>
    <s v="573 - Difusão do conhecimento científico e tecnológico"/>
    <x v="1085"/>
    <n v="785743.86"/>
    <n v="727941.25"/>
    <n v="1324664.8799999999"/>
  </r>
  <r>
    <x v="4"/>
    <x v="12"/>
    <s v="846 - Outros encargos especiais"/>
    <x v="1086"/>
    <n v="162118091.75"/>
    <n v="161006597.19"/>
    <n v="0"/>
  </r>
  <r>
    <x v="4"/>
    <x v="21"/>
    <s v="331 - Proteção e benefícios ao trabalhador"/>
    <x v="1087"/>
    <n v="2962888.01"/>
    <n v="2985318.74"/>
    <n v="0"/>
  </r>
  <r>
    <x v="4"/>
    <x v="12"/>
    <s v="127 - Ordenamento territorial"/>
    <x v="1088"/>
    <n v="3977456.51"/>
    <n v="3817496.22"/>
    <n v="1769652.88"/>
  </r>
  <r>
    <x v="4"/>
    <x v="19"/>
    <s v="331 - Proteção e benefícios ao trabalhador"/>
    <x v="1089"/>
    <n v="6941037.5099999998"/>
    <n v="8560706.3599999994"/>
    <n v="0"/>
  </r>
  <r>
    <x v="4"/>
    <x v="16"/>
    <s v="661 - Promoção industrial"/>
    <x v="0"/>
    <n v="4649.03"/>
    <n v="5090.25"/>
    <n v="157482.12"/>
  </r>
  <r>
    <x v="4"/>
    <x v="20"/>
    <s v="811 - Desporto de rendimento"/>
    <x v="1090"/>
    <n v="171375.34"/>
    <n v="157725.9"/>
    <n v="352956.64"/>
  </r>
  <r>
    <x v="4"/>
    <x v="26"/>
    <s v="125 - Normatização e fiscalização"/>
    <x v="1091"/>
    <n v="11235576.449999999"/>
    <n v="12587315.48"/>
    <n v="1098092.94"/>
  </r>
  <r>
    <x v="4"/>
    <x v="16"/>
    <s v="182 - Defesa civil"/>
    <x v="1092"/>
    <n v="1657745.71"/>
    <n v="1548084.51"/>
    <n v="0"/>
  </r>
  <r>
    <x v="4"/>
    <x v="26"/>
    <s v="784 - Transporte hidroviário"/>
    <x v="1093"/>
    <n v="126681830.38"/>
    <n v="124162210.94"/>
    <n v="11072976.550000001"/>
  </r>
  <r>
    <x v="4"/>
    <x v="2"/>
    <s v="691 - Promoção comercial"/>
    <x v="1094"/>
    <n v="687735.6"/>
    <n v="674133.08"/>
    <n v="460210.77"/>
  </r>
  <r>
    <x v="4"/>
    <x v="7"/>
    <s v="126 - Tecnologia da informação"/>
    <x v="1095"/>
    <n v="15152171.550000001"/>
    <n v="16156614.59"/>
    <n v="6999944.4900000002"/>
  </r>
  <r>
    <x v="4"/>
    <x v="14"/>
    <s v="331 - Proteção e benefícios ao trabalhador"/>
    <x v="1096"/>
    <n v="1885080.35"/>
    <n v="1719333.23"/>
    <n v="0"/>
  </r>
  <r>
    <x v="4"/>
    <x v="19"/>
    <s v="451 - infra-estrutura urbana"/>
    <x v="0"/>
    <n v="0"/>
    <n v="0"/>
    <n v="465707660.25999999"/>
  </r>
  <r>
    <x v="4"/>
    <x v="12"/>
    <s v="128 - Formação de recursos humanos"/>
    <x v="1097"/>
    <n v="206972.21"/>
    <n v="145080.95999999999"/>
    <n v="91481.29"/>
  </r>
  <r>
    <x v="4"/>
    <x v="5"/>
    <s v="573 - Difusão do conhecimento científico e tecnológico"/>
    <x v="1098"/>
    <n v="278506.15999999997"/>
    <n v="278424.15000000002"/>
    <n v="167918.33"/>
  </r>
  <r>
    <x v="4"/>
    <x v="16"/>
    <s v="544 - Recursos hídricos"/>
    <x v="1099"/>
    <n v="530945.23"/>
    <n v="484759.11"/>
    <n v="234279.66"/>
  </r>
  <r>
    <x v="4"/>
    <x v="12"/>
    <s v="092 - Representação judicial e extrajudicial"/>
    <x v="1100"/>
    <n v="20458625.079999998"/>
    <n v="16178475.66"/>
    <n v="28798.82"/>
  </r>
  <r>
    <x v="4"/>
    <x v="20"/>
    <s v="542 - Controle ambiental"/>
    <x v="1101"/>
    <n v="3335684.95"/>
    <n v="3328620.77"/>
    <n v="2084695.97"/>
  </r>
  <r>
    <x v="4"/>
    <x v="7"/>
    <s v="541 - Preservação e conservação ambiental"/>
    <x v="1102"/>
    <n v="0"/>
    <n v="0"/>
    <n v="12000"/>
  </r>
  <r>
    <x v="4"/>
    <x v="16"/>
    <s v="128 - Formação de recursos humanos"/>
    <x v="1103"/>
    <n v="132580.35999999999"/>
    <n v="129430.5"/>
    <n v="1502.65"/>
  </r>
  <r>
    <x v="4"/>
    <x v="14"/>
    <s v="422 - Direitos individuais, coletivos e difusos"/>
    <x v="1104"/>
    <n v="10751027.109999999"/>
    <n v="10298502.199999999"/>
    <n v="15134228.9"/>
  </r>
  <r>
    <x v="4"/>
    <x v="1"/>
    <s v="331 - Proteção e benefícios ao trabalhador"/>
    <x v="1105"/>
    <n v="36135526.159999996"/>
    <n v="36459854.990000002"/>
    <n v="0"/>
  </r>
  <r>
    <x v="4"/>
    <x v="20"/>
    <s v="571 - Desenvolvimento científico"/>
    <x v="1106"/>
    <n v="222112.8"/>
    <n v="737141.37"/>
    <n v="419223.36"/>
  </r>
  <r>
    <x v="4"/>
    <x v="18"/>
    <s v="122 - Administração geral"/>
    <x v="1107"/>
    <n v="59173315.060000002"/>
    <n v="53192493.880000003"/>
    <n v="2155632.44"/>
  </r>
  <r>
    <x v="4"/>
    <x v="16"/>
    <s v="127 - Ordenamento territorial"/>
    <x v="1108"/>
    <n v="150330.82999999999"/>
    <n v="126034.29"/>
    <n v="182380.94"/>
  </r>
  <r>
    <x v="4"/>
    <x v="1"/>
    <s v="421 - Custódia e reintegração social"/>
    <x v="1109"/>
    <n v="3090912.86"/>
    <n v="3105894.91"/>
    <n v="9701712.25"/>
  </r>
  <r>
    <x v="4"/>
    <x v="20"/>
    <s v="212 - Cooperação internacional"/>
    <x v="1110"/>
    <n v="958928.16"/>
    <n v="833079.12"/>
    <n v="1369397.92"/>
  </r>
  <r>
    <x v="4"/>
    <x v="12"/>
    <s v="183 - Informação e inteligência"/>
    <x v="1111"/>
    <n v="4539611.28"/>
    <n v="4514286.95"/>
    <n v="239207.07"/>
  </r>
  <r>
    <x v="4"/>
    <x v="25"/>
    <s v="512 - Saneamento básico urbano"/>
    <x v="1112"/>
    <n v="20276.990000000002"/>
    <n v="15791.17"/>
    <n v="43927022"/>
  </r>
  <r>
    <x v="4"/>
    <x v="19"/>
    <s v="453 - Transportes coletivos urbanos"/>
    <x v="1113"/>
    <n v="19579831.850000001"/>
    <n v="19882010.559999999"/>
    <n v="9473536.3599999994"/>
  </r>
  <r>
    <x v="4"/>
    <x v="20"/>
    <s v="573 - Difusão do conhecimento científico e tecnológico"/>
    <x v="1114"/>
    <n v="17982.93"/>
    <n v="17982.93"/>
    <n v="8823.65"/>
  </r>
  <r>
    <x v="4"/>
    <x v="20"/>
    <s v="423 - Assistência aos povos indígenas"/>
    <x v="1115"/>
    <n v="50023397.380000003"/>
    <n v="44993618.530000001"/>
    <n v="0"/>
  </r>
  <r>
    <x v="4"/>
    <x v="7"/>
    <s v="511 - Saneamento básico rural"/>
    <x v="1116"/>
    <n v="3626785.12"/>
    <n v="2827363.28"/>
    <n v="728247.99"/>
  </r>
  <r>
    <x v="4"/>
    <x v="2"/>
    <s v="331 - Proteção e benefícios ao trabalhador"/>
    <x v="1117"/>
    <n v="65632109.539999999"/>
    <n v="65617078.969999999"/>
    <n v="0"/>
  </r>
  <r>
    <x v="4"/>
    <x v="27"/>
    <s v="811 - Desporto de rendimento"/>
    <x v="1118"/>
    <n v="13653897.960000001"/>
    <n v="13615580.140000001"/>
    <n v="9417633.1300000008"/>
  </r>
  <r>
    <x v="4"/>
    <x v="5"/>
    <s v="608 - Promoção da produção agropecuária"/>
    <x v="1119"/>
    <n v="734769923.87"/>
    <n v="505885334.23000002"/>
    <n v="487666166.63999999"/>
  </r>
  <r>
    <x v="4"/>
    <x v="7"/>
    <s v="303 - Suporte profilático e terapêutico"/>
    <x v="1120"/>
    <n v="1099737830"/>
    <n v="1018159868.52"/>
    <n v="431366229.79000002"/>
  </r>
  <r>
    <x v="4"/>
    <x v="10"/>
    <s v="331 - Proteção e benefícios ao trabalhador"/>
    <x v="1121"/>
    <n v="21592179.41"/>
    <n v="22352856.129999999"/>
    <n v="0"/>
  </r>
  <r>
    <x v="4"/>
    <x v="5"/>
    <s v="607 - Irrigação"/>
    <x v="1122"/>
    <n v="8135780.96"/>
    <n v="6841578.3099999996"/>
    <n v="2569150.66"/>
  </r>
  <r>
    <x v="4"/>
    <x v="0"/>
    <s v="122 - Administração geral"/>
    <x v="1123"/>
    <n v="90736733.209999993"/>
    <n v="79368319.930000007"/>
    <n v="7347290.9400000004"/>
  </r>
  <r>
    <x v="4"/>
    <x v="4"/>
    <s v="122 - Administração geral"/>
    <x v="1124"/>
    <n v="57634412.509999998"/>
    <n v="48443352.57"/>
    <n v="545021.53"/>
  </r>
  <r>
    <x v="4"/>
    <x v="0"/>
    <s v="367 - Educação especial"/>
    <x v="1125"/>
    <n v="2463407.4900000002"/>
    <n v="2223028.58"/>
    <n v="398258.43"/>
  </r>
  <r>
    <x v="4"/>
    <x v="7"/>
    <s v="331 - Proteção e benefícios ao trabalhador"/>
    <x v="1126"/>
    <n v="61820843.469999999"/>
    <n v="61703713.729999997"/>
    <n v="0"/>
  </r>
  <r>
    <x v="4"/>
    <x v="23"/>
    <s v="122 - Administração geral"/>
    <x v="1127"/>
    <n v="97851672.379999995"/>
    <n v="97547792.359999999"/>
    <n v="2836321.15"/>
  </r>
  <r>
    <x v="4"/>
    <x v="10"/>
    <s v="272 - Previdência do regime estatutário"/>
    <x v="1128"/>
    <n v="8026672363.7299995"/>
    <n v="7386016884.9300003"/>
    <n v="34234.269999999997"/>
  </r>
  <r>
    <x v="4"/>
    <x v="26"/>
    <s v="122 - Administração geral"/>
    <x v="1129"/>
    <n v="160924328.59"/>
    <n v="148764330.53"/>
    <n v="10525044.539999999"/>
  </r>
  <r>
    <x v="4"/>
    <x v="18"/>
    <s v="331 - Proteção e benefícios ao trabalhador"/>
    <x v="1130"/>
    <n v="2017181.57"/>
    <n v="2451960.1800000002"/>
    <n v="0"/>
  </r>
  <r>
    <x v="4"/>
    <x v="19"/>
    <s v="244 - Assistência comunitária"/>
    <x v="0"/>
    <n v="0"/>
    <n v="0"/>
    <n v="492738533.69"/>
  </r>
  <r>
    <x v="4"/>
    <x v="20"/>
    <s v="812 - Desporto comunitário"/>
    <x v="0"/>
    <n v="2258.15"/>
    <n v="0"/>
    <n v="154974.96"/>
  </r>
  <r>
    <x v="4"/>
    <x v="20"/>
    <s v="368 - Educação básica"/>
    <x v="1131"/>
    <n v="1791009.61"/>
    <n v="1690093.51"/>
    <n v="352989.23"/>
  </r>
  <r>
    <x v="4"/>
    <x v="10"/>
    <s v="846 - Outros encargos especiais"/>
    <x v="1132"/>
    <n v="46316227"/>
    <n v="46312809.880000003"/>
    <n v="0"/>
  </r>
  <r>
    <x v="4"/>
    <x v="26"/>
    <s v="121 - Planejamento e orçamento"/>
    <x v="1133"/>
    <n v="3370111.05"/>
    <n v="1512010.41"/>
    <n v="13659390.939999999"/>
  </r>
  <r>
    <x v="4"/>
    <x v="8"/>
    <s v="122 - Administração geral"/>
    <x v="1134"/>
    <n v="111162856.02"/>
    <n v="94578602.870000005"/>
    <n v="3850361.69"/>
  </r>
  <r>
    <x v="4"/>
    <x v="5"/>
    <s v="605 - Abastecimento"/>
    <x v="1135"/>
    <n v="336109142.77999997"/>
    <n v="335031298.06999999"/>
    <n v="41135699.009999998"/>
  </r>
  <r>
    <x v="4"/>
    <x v="8"/>
    <s v="631 - Reforma agrária"/>
    <x v="1136"/>
    <n v="1042795.36"/>
    <n v="1049648.4099999999"/>
    <n v="15515304.890000001"/>
  </r>
  <r>
    <x v="4"/>
    <x v="12"/>
    <s v="125 - Normatização e fiscalização"/>
    <x v="1137"/>
    <n v="27675299.010000002"/>
    <n v="24069505.710000001"/>
    <n v="23046382.59"/>
  </r>
  <r>
    <x v="4"/>
    <x v="7"/>
    <s v="305 - Vigilância epidemiológica"/>
    <x v="1138"/>
    <n v="869708591.69000006"/>
    <n v="1046432723.92"/>
    <n v="513203595.02999997"/>
  </r>
  <r>
    <x v="4"/>
    <x v="23"/>
    <s v="544 - Recursos hídricos"/>
    <x v="1139"/>
    <n v="90226016.019999996"/>
    <n v="70431419.019999996"/>
    <n v="109872995.78"/>
  </r>
  <r>
    <x v="4"/>
    <x v="11"/>
    <s v="846 - Outros encargos especiais"/>
    <x v="1140"/>
    <n v="4787010290.4899998"/>
    <n v="4741512175.8699999"/>
    <n v="251926918.12"/>
  </r>
  <r>
    <x v="4"/>
    <x v="12"/>
    <s v="331 - Proteção e benefícios ao trabalhador"/>
    <x v="1141"/>
    <n v="88659461.170000002"/>
    <n v="86433944.359999999"/>
    <n v="0"/>
  </r>
  <r>
    <x v="4"/>
    <x v="0"/>
    <s v="331 - Proteção e benefícios ao trabalhador"/>
    <x v="1142"/>
    <n v="301177810.82999998"/>
    <n v="301795457.18000001"/>
    <n v="0"/>
  </r>
  <r>
    <x v="4"/>
    <x v="0"/>
    <s v="365 - Educação infantil"/>
    <x v="1143"/>
    <n v="36143375.590000004"/>
    <n v="41764391.25"/>
    <n v="6622210.6799999997"/>
  </r>
  <r>
    <x v="4"/>
    <x v="3"/>
    <s v="662 - Produção industrial"/>
    <x v="1144"/>
    <n v="14054205.27"/>
    <n v="8093587.1399999997"/>
    <n v="7068468.5300000003"/>
  </r>
  <r>
    <x v="4"/>
    <x v="20"/>
    <s v="482 - Habitação urbana"/>
    <x v="1145"/>
    <n v="11091795.710000001"/>
    <n v="10788172.26"/>
    <n v="16574586.390000001"/>
  </r>
  <r>
    <x v="4"/>
    <x v="0"/>
    <s v="306 - Alimentação e nutrição"/>
    <x v="1146"/>
    <n v="546382149.19000006"/>
    <n v="546240677.16999996"/>
    <n v="3262834.98"/>
  </r>
  <r>
    <x v="4"/>
    <x v="23"/>
    <s v="541 - Preservação e conservação ambiental"/>
    <x v="1147"/>
    <n v="12694184.359999999"/>
    <n v="13235889.939999999"/>
    <n v="3007032.53"/>
  </r>
  <r>
    <x v="4"/>
    <x v="7"/>
    <s v="423 - Assistência aos povos indígenas"/>
    <x v="1148"/>
    <n v="242805257.56999999"/>
    <n v="238127150.69"/>
    <n v="3208914.12"/>
  </r>
  <r>
    <x v="4"/>
    <x v="27"/>
    <s v="812 - Desporto comunitário"/>
    <x v="1149"/>
    <n v="0"/>
    <n v="0"/>
    <n v="47713136.899999999"/>
  </r>
  <r>
    <x v="4"/>
    <x v="3"/>
    <s v="571 - Desenvolvimento científico"/>
    <x v="1150"/>
    <n v="112480238.33"/>
    <n v="109338092.06999999"/>
    <n v="33233083.030000001"/>
  </r>
  <r>
    <x v="4"/>
    <x v="13"/>
    <s v="244 - Assistência comunitária"/>
    <x v="1151"/>
    <n v="14385860704.99"/>
    <n v="14385427115.57"/>
    <n v="15082376.460000001"/>
  </r>
  <r>
    <x v="4"/>
    <x v="5"/>
    <s v="609 - Defesa agropecuária"/>
    <x v="1152"/>
    <n v="617151.5"/>
    <n v="634036.38"/>
    <n v="3486193.34"/>
  </r>
  <r>
    <x v="4"/>
    <x v="23"/>
    <s v="542 - Controle ambiental"/>
    <x v="1153"/>
    <n v="3963457.73"/>
    <n v="3879823.54"/>
    <n v="3806341.52"/>
  </r>
  <r>
    <x v="4"/>
    <x v="7"/>
    <s v="128 - Formação de recursos humanos"/>
    <x v="1154"/>
    <n v="147331716.96000001"/>
    <n v="157640044.69999999"/>
    <n v="3670043.19"/>
  </r>
  <r>
    <x v="4"/>
    <x v="3"/>
    <s v="122 - Administração geral"/>
    <x v="1155"/>
    <n v="118703342.76000001"/>
    <n v="111244659.84"/>
    <n v="7073138.0499999998"/>
  </r>
  <r>
    <x v="4"/>
    <x v="20"/>
    <s v="363 - Ensino profissional"/>
    <x v="1156"/>
    <n v="1633200.92"/>
    <n v="1307724.1100000001"/>
    <n v="2290384.17"/>
  </r>
  <r>
    <x v="4"/>
    <x v="3"/>
    <s v="572 - Desenvolvimento tecnológico e engenharia"/>
    <x v="1157"/>
    <n v="178109364.72"/>
    <n v="160199794.93000001"/>
    <n v="59754867.140000001"/>
  </r>
  <r>
    <x v="4"/>
    <x v="16"/>
    <s v="122 - Administração geral"/>
    <x v="1158"/>
    <n v="99945912.349999994"/>
    <n v="82637599.870000005"/>
    <n v="1419184.87"/>
  </r>
  <r>
    <x v="4"/>
    <x v="26"/>
    <s v="782 - Transporte rodoviário"/>
    <x v="1159"/>
    <n v="549492157.34000003"/>
    <n v="536597711.48000002"/>
    <n v="517122909.06999999"/>
  </r>
  <r>
    <x v="4"/>
    <x v="22"/>
    <s v="125 - Normatização e fiscalização"/>
    <x v="1160"/>
    <n v="2551458.1800000002"/>
    <n v="2451840.81"/>
    <n v="2923961.57"/>
  </r>
  <r>
    <x v="4"/>
    <x v="20"/>
    <s v="152 - Defesa naval"/>
    <x v="1161"/>
    <n v="115632096.84"/>
    <n v="117994567.41"/>
    <n v="58228421.710000001"/>
  </r>
  <r>
    <x v="4"/>
    <x v="21"/>
    <s v="392 - Difusão cultural"/>
    <x v="1162"/>
    <n v="15072796.289999999"/>
    <n v="15014024.18"/>
    <n v="23538432.940000001"/>
  </r>
  <r>
    <x v="4"/>
    <x v="18"/>
    <s v="125 - Normatização e fiscalização"/>
    <x v="1163"/>
    <n v="1571837.32"/>
    <n v="1562124.17"/>
    <n v="1653891.13"/>
  </r>
  <r>
    <x v="4"/>
    <x v="20"/>
    <s v="151 - Defesa aérea"/>
    <x v="1164"/>
    <n v="219760389.34999999"/>
    <n v="185176926.28999999"/>
    <n v="260670778.09"/>
  </r>
  <r>
    <x v="4"/>
    <x v="20"/>
    <s v="183 - Informação e inteligência"/>
    <x v="1165"/>
    <n v="813057.67"/>
    <n v="810670.01"/>
    <n v="300975.5"/>
  </r>
  <r>
    <x v="4"/>
    <x v="0"/>
    <s v="368 - Educação básica"/>
    <x v="1166"/>
    <n v="261919725.41"/>
    <n v="327809519.93000001"/>
    <n v="341827712.08999997"/>
  </r>
  <r>
    <x v="4"/>
    <x v="10"/>
    <s v="271 - Previdência básica"/>
    <x v="1167"/>
    <n v="95502829689.690002"/>
    <n v="71768963026.539993"/>
    <n v="998905.08"/>
  </r>
  <r>
    <x v="4"/>
    <x v="5"/>
    <s v="125 - Normatização e fiscalização"/>
    <x v="1168"/>
    <n v="11954518.43"/>
    <n v="12450070.439999999"/>
    <n v="3262931.08"/>
  </r>
  <r>
    <x v="4"/>
    <x v="7"/>
    <s v="571 - Desenvolvimento científico"/>
    <x v="1169"/>
    <n v="77849328.549999997"/>
    <n v="66564777.259999998"/>
    <n v="39876126.5"/>
  </r>
  <r>
    <x v="4"/>
    <x v="21"/>
    <s v="122 - Administração geral"/>
    <x v="1170"/>
    <n v="57034755.850000001"/>
    <n v="60733581.189999998"/>
    <n v="1989139.72"/>
  </r>
  <r>
    <x v="4"/>
    <x v="9"/>
    <s v="092 - Representação judicial e extrajudicial"/>
    <x v="1171"/>
    <n v="38941790.609999999"/>
    <n v="37568476.140000001"/>
    <n v="2574377.9500000002"/>
  </r>
  <r>
    <x v="4"/>
    <x v="22"/>
    <s v="331 - Proteção e benefícios ao trabalhador"/>
    <x v="1172"/>
    <n v="8779498765.1200008"/>
    <n v="8779436051.3400002"/>
    <n v="139499904.30000001"/>
  </r>
  <r>
    <x v="4"/>
    <x v="22"/>
    <s v="122 - Administração geral"/>
    <x v="1173"/>
    <n v="185086788.40000001"/>
    <n v="148622550.22999999"/>
    <n v="1674355.05"/>
  </r>
  <r>
    <x v="4"/>
    <x v="5"/>
    <s v="122 - Administração geral"/>
    <x v="1174"/>
    <n v="363721423.24000001"/>
    <n v="614142876.53999996"/>
    <n v="2129768.75"/>
  </r>
  <r>
    <x v="4"/>
    <x v="20"/>
    <s v="128 - Formação de recursos humanos"/>
    <x v="1175"/>
    <n v="8280298.9100000001"/>
    <n v="7035922.1299999999"/>
    <n v="4946454.42"/>
  </r>
  <r>
    <x v="4"/>
    <x v="12"/>
    <s v="121 - Planejamento e orçamento"/>
    <x v="1176"/>
    <n v="77507949.329999998"/>
    <n v="70508538.019999996"/>
    <n v="19578020.32"/>
  </r>
  <r>
    <x v="4"/>
    <x v="14"/>
    <s v="125 - Normatização e fiscalização"/>
    <x v="1177"/>
    <n v="4454802.17"/>
    <n v="4137716.41"/>
    <n v="421464.21"/>
  </r>
  <r>
    <x v="4"/>
    <x v="12"/>
    <s v="124 - Controle interno"/>
    <x v="1178"/>
    <n v="9409030.2599999998"/>
    <n v="8874075.9700000007"/>
    <n v="641608.12"/>
  </r>
  <r>
    <x v="4"/>
    <x v="12"/>
    <s v="122 - Administração geral"/>
    <x v="1179"/>
    <n v="1655119021.6500001"/>
    <n v="1372882569.4000001"/>
    <n v="102075328.52"/>
  </r>
  <r>
    <x v="4"/>
    <x v="1"/>
    <s v="182 - Defesa civil"/>
    <x v="1180"/>
    <n v="74292888.739999995"/>
    <n v="78818238.469999999"/>
    <n v="41922624.700000003"/>
  </r>
  <r>
    <x v="4"/>
    <x v="13"/>
    <s v="306 - Alimentação e nutrição"/>
    <x v="1181"/>
    <n v="0"/>
    <n v="0"/>
    <n v="25586532.039999999"/>
  </r>
  <r>
    <x v="4"/>
    <x v="7"/>
    <s v="302 - Assistência hospitalar e ambulatorial"/>
    <x v="1182"/>
    <n v="5461544913.3500004"/>
    <n v="5439422233.2200003"/>
    <n v="212793984.15000001"/>
  </r>
  <r>
    <x v="4"/>
    <x v="20"/>
    <s v="153 - Defesa terrestre"/>
    <x v="1183"/>
    <n v="52044597.630000003"/>
    <n v="49647528.590000004"/>
    <n v="143952149.61000001"/>
  </r>
  <r>
    <x v="4"/>
    <x v="11"/>
    <s v="845 - Outras transferências"/>
    <x v="1184"/>
    <n v="35603076773.580002"/>
    <n v="36213645864.470001"/>
    <n v="107366287.39"/>
  </r>
  <r>
    <x v="4"/>
    <x v="20"/>
    <s v="572 - Desenvolvimento tecnológico e engenharia"/>
    <x v="1185"/>
    <n v="15825569.109999999"/>
    <n v="5774581.2300000004"/>
    <n v="10302417.560000001"/>
  </r>
  <r>
    <x v="4"/>
    <x v="5"/>
    <s v="691 - Promoção comercial"/>
    <x v="1186"/>
    <n v="1656598.79"/>
    <n v="1906628.19"/>
    <n v="-694.7"/>
  </r>
  <r>
    <x v="4"/>
    <x v="14"/>
    <s v="423 - Assistência aos povos indígenas"/>
    <x v="1187"/>
    <n v="1581703.36"/>
    <n v="1543759.69"/>
    <n v="2031474.44"/>
  </r>
  <r>
    <x v="4"/>
    <x v="16"/>
    <s v="663 - Mineração"/>
    <x v="1188"/>
    <n v="2159558.0299999998"/>
    <n v="1906217.7"/>
    <n v="361446.28"/>
  </r>
  <r>
    <x v="4"/>
    <x v="14"/>
    <s v="122 - Administração geral"/>
    <x v="1189"/>
    <n v="35690749.109999999"/>
    <n v="33644129.539999999"/>
    <n v="991362.45"/>
  </r>
  <r>
    <x v="4"/>
    <x v="1"/>
    <s v="181 - Policiamento"/>
    <x v="1190"/>
    <n v="129679787.97"/>
    <n v="209292675.41"/>
    <n v="146221551.19999999"/>
  </r>
  <r>
    <x v="4"/>
    <x v="2"/>
    <s v="392 - Difusão cultural"/>
    <x v="1191"/>
    <n v="4556153.5999999996"/>
    <n v="4548890.1399999997"/>
    <n v="534119.31000000006"/>
  </r>
  <r>
    <x v="4"/>
    <x v="2"/>
    <s v="122 - Administração geral"/>
    <x v="1192"/>
    <n v="174937732.11000001"/>
    <n v="170801546.44"/>
    <n v="4606636"/>
  </r>
  <r>
    <x v="4"/>
    <x v="7"/>
    <s v="301 - Atenção básica"/>
    <x v="1193"/>
    <n v="2312064307.4499998"/>
    <n v="2317124089.6500001"/>
    <n v="282749573.10000002"/>
  </r>
  <r>
    <x v="4"/>
    <x v="0"/>
    <s v="302 - Assistência hospitalar e ambulatorial"/>
    <x v="1194"/>
    <n v="900236744.12"/>
    <n v="795675216.78999996"/>
    <n v="40737579.5"/>
  </r>
  <r>
    <x v="4"/>
    <x v="8"/>
    <s v="331 - Proteção e benefícios ao trabalhador"/>
    <x v="1195"/>
    <n v="11028769.82"/>
    <n v="10979305.189999999"/>
    <n v="0"/>
  </r>
  <r>
    <x v="4"/>
    <x v="0"/>
    <s v="364 - Ensino superior"/>
    <x v="1196"/>
    <n v="2948785312.8400002"/>
    <n v="2484561067.4899998"/>
    <n v="168133629.66999999"/>
  </r>
  <r>
    <x v="4"/>
    <x v="20"/>
    <s v="301 - Atenção básica"/>
    <x v="1197"/>
    <n v="147038.9"/>
    <n v="0"/>
    <n v="84767756.870000005"/>
  </r>
  <r>
    <x v="4"/>
    <x v="20"/>
    <s v="125 - Normatização e fiscalização"/>
    <x v="1198"/>
    <n v="11011011.029999999"/>
    <n v="11000867.17"/>
    <n v="7993497.21"/>
  </r>
  <r>
    <x v="4"/>
    <x v="20"/>
    <s v="331 - Proteção e benefícios ao trabalhador"/>
    <x v="1199"/>
    <n v="692911876.38999999"/>
    <n v="601533763.95000005"/>
    <n v="45712346.049999997"/>
  </r>
  <r>
    <x v="4"/>
    <x v="7"/>
    <s v="122 - Administração geral"/>
    <x v="1200"/>
    <n v="606246691.47000003"/>
    <n v="552206297.28999996"/>
    <n v="12174615.310000001"/>
  </r>
  <r>
    <x v="4"/>
    <x v="20"/>
    <s v="122 - Administração geral"/>
    <x v="1201"/>
    <n v="5070845303.3500004"/>
    <n v="5135507925.7299995"/>
    <n v="65257800.479999997"/>
  </r>
  <r>
    <x v="4"/>
    <x v="5"/>
    <s v="572 - Desenvolvimento tecnológico e engenharia"/>
    <x v="1202"/>
    <n v="14316512.9"/>
    <n v="11951190.189999999"/>
    <n v="4649834.46"/>
  </r>
  <r>
    <x v="4"/>
    <x v="0"/>
    <s v="363 - Ensino profissional"/>
    <x v="1203"/>
    <n v="1115700694.5899999"/>
    <n v="889786122.24000001"/>
    <n v="103565979.89"/>
  </r>
  <r>
    <x v="4"/>
    <x v="2"/>
    <s v="211 - Relações diplomáticas"/>
    <x v="1204"/>
    <n v="159919249.75999999"/>
    <n v="160982507.59"/>
    <n v="924686.6"/>
  </r>
  <r>
    <x v="4"/>
    <x v="1"/>
    <s v="122 - Administração geral"/>
    <x v="1205"/>
    <n v="644408384.19000006"/>
    <n v="623389581.09000003"/>
    <n v="10008728.74"/>
  </r>
  <r>
    <x v="4"/>
    <x v="0"/>
    <s v="128 - Formação de recursos humanos"/>
    <x v="1206"/>
    <n v="2786009.23"/>
    <n v="2146735.52"/>
    <n v="1190387.29"/>
  </r>
  <r>
    <x v="5"/>
    <x v="1"/>
    <s v="482 - Habitação urbana"/>
    <x v="1207"/>
    <n v="361289.83"/>
    <n v="389589.83"/>
    <n v="0"/>
  </r>
  <r>
    <x v="5"/>
    <x v="7"/>
    <s v="422 - Direitos individuais, coletivos e difusos"/>
    <x v="0"/>
    <n v="0"/>
    <n v="0"/>
    <n v="2000000"/>
  </r>
  <r>
    <x v="5"/>
    <x v="13"/>
    <s v="331 - Proteção e benefícios ao trabalhador"/>
    <x v="0"/>
    <n v="0"/>
    <n v="0"/>
    <n v="2.85"/>
  </r>
  <r>
    <x v="5"/>
    <x v="10"/>
    <s v="665 - Normalização e qualidade"/>
    <x v="0"/>
    <n v="0"/>
    <n v="0"/>
    <n v="9431.08"/>
  </r>
  <r>
    <x v="5"/>
    <x v="26"/>
    <s v="846 - Outros encargos especiais"/>
    <x v="1208"/>
    <n v="15748039.01"/>
    <n v="15744531.210000001"/>
    <n v="0"/>
  </r>
  <r>
    <x v="5"/>
    <x v="6"/>
    <s v="846 - Outros encargos especiais"/>
    <x v="0"/>
    <n v="0"/>
    <n v="0"/>
    <n v="11776.32"/>
  </r>
  <r>
    <x v="5"/>
    <x v="5"/>
    <s v="127 - Ordenamento territorial"/>
    <x v="0"/>
    <n v="0"/>
    <n v="0"/>
    <n v="340524.52"/>
  </r>
  <r>
    <x v="5"/>
    <x v="4"/>
    <s v="846 - Outros encargos especiais"/>
    <x v="0"/>
    <n v="4398824.21"/>
    <n v="4401822.46"/>
    <n v="0"/>
  </r>
  <r>
    <x v="5"/>
    <x v="7"/>
    <s v="306 - Alimentação e nutrição"/>
    <x v="1209"/>
    <n v="1641346.18"/>
    <n v="141346.18"/>
    <n v="381039"/>
  </r>
  <r>
    <x v="5"/>
    <x v="24"/>
    <s v="031 - Ação legislativa"/>
    <x v="1210"/>
    <n v="4505.5"/>
    <n v="0"/>
    <n v="0"/>
  </r>
  <r>
    <x v="5"/>
    <x v="9"/>
    <s v="301 - Atenção básica"/>
    <x v="0"/>
    <n v="0"/>
    <n v="0"/>
    <n v="12517.33"/>
  </r>
  <r>
    <x v="5"/>
    <x v="9"/>
    <s v="846 - Outros encargos especiais"/>
    <x v="0"/>
    <n v="26925900.899999999"/>
    <n v="26925900.899999999"/>
    <n v="33934.699999999997"/>
  </r>
  <r>
    <x v="5"/>
    <x v="4"/>
    <s v="753 - Combustíveis"/>
    <x v="0"/>
    <n v="3612.5"/>
    <n v="3612.5"/>
    <n v="0"/>
  </r>
  <r>
    <x v="5"/>
    <x v="18"/>
    <s v="572 - Desenvolvimento tecnológico e engenharia"/>
    <x v="1211"/>
    <n v="3023622.58"/>
    <n v="3023622.58"/>
    <n v="476414.92"/>
  </r>
  <r>
    <x v="5"/>
    <x v="2"/>
    <s v="301 - Atenção básica"/>
    <x v="0"/>
    <n v="0"/>
    <n v="0"/>
    <n v="0"/>
  </r>
  <r>
    <x v="5"/>
    <x v="14"/>
    <s v="241 - Assistência ao idoso"/>
    <x v="0"/>
    <n v="0"/>
    <n v="0"/>
    <n v="235569"/>
  </r>
  <r>
    <x v="5"/>
    <x v="21"/>
    <s v="691 - Promoção comercial"/>
    <x v="1212"/>
    <n v="37740302"/>
    <n v="0"/>
    <n v="0"/>
  </r>
  <r>
    <x v="5"/>
    <x v="16"/>
    <s v="664 - Propriedade industrial"/>
    <x v="0"/>
    <n v="706743.28"/>
    <n v="578664.77"/>
    <n v="2016121"/>
  </r>
  <r>
    <x v="5"/>
    <x v="5"/>
    <s v="846 - Outros encargos especiais"/>
    <x v="0"/>
    <n v="15614054.24"/>
    <n v="15580998.800000001"/>
    <n v="47311.7"/>
  </r>
  <r>
    <x v="5"/>
    <x v="4"/>
    <s v="130 - Administração de concessões"/>
    <x v="1213"/>
    <n v="457352.78"/>
    <n v="463775.97"/>
    <n v="52375.74"/>
  </r>
  <r>
    <x v="5"/>
    <x v="7"/>
    <s v="846 - Outros encargos especiais"/>
    <x v="0"/>
    <n v="82862335.400000006"/>
    <n v="82862335.400000006"/>
    <n v="0"/>
  </r>
  <r>
    <x v="5"/>
    <x v="26"/>
    <s v="301 - Atenção básica"/>
    <x v="0"/>
    <n v="0"/>
    <n v="0"/>
    <n v="-6846.74"/>
  </r>
  <r>
    <x v="5"/>
    <x v="2"/>
    <s v="846 - Outros encargos especiais"/>
    <x v="1214"/>
    <n v="10463961.91"/>
    <n v="10463961.91"/>
    <n v="10362.32"/>
  </r>
  <r>
    <x v="5"/>
    <x v="3"/>
    <s v="131 - Comunicação social"/>
    <x v="0"/>
    <n v="2434.3200000000002"/>
    <n v="2434.3200000000002"/>
    <n v="0"/>
  </r>
  <r>
    <x v="5"/>
    <x v="16"/>
    <s v="333 - Empregabilidade"/>
    <x v="0"/>
    <n v="0"/>
    <n v="0"/>
    <n v="566400"/>
  </r>
  <r>
    <x v="5"/>
    <x v="18"/>
    <s v="846 - Outros encargos especiais"/>
    <x v="0"/>
    <n v="4233766.4000000004"/>
    <n v="4233766.4000000004"/>
    <n v="0"/>
  </r>
  <r>
    <x v="5"/>
    <x v="16"/>
    <s v="691 - Promoção comercial"/>
    <x v="0"/>
    <n v="0"/>
    <n v="0"/>
    <n v="66374.06"/>
  </r>
  <r>
    <x v="5"/>
    <x v="2"/>
    <s v="128 - Formação de recursos humanos"/>
    <x v="1215"/>
    <n v="480205.36"/>
    <n v="65851.839999999997"/>
    <n v="30000"/>
  </r>
  <r>
    <x v="5"/>
    <x v="9"/>
    <s v="062 - Defesa do interesse público no processo judiciário"/>
    <x v="1216"/>
    <n v="9601.14"/>
    <n v="9601.14"/>
    <n v="0"/>
  </r>
  <r>
    <x v="5"/>
    <x v="5"/>
    <s v="631 - Reforma agrária"/>
    <x v="0"/>
    <n v="0"/>
    <n v="0"/>
    <n v="0"/>
  </r>
  <r>
    <x v="5"/>
    <x v="20"/>
    <s v="366 - Educação de jovens e adultos"/>
    <x v="1217"/>
    <n v="26047.64"/>
    <n v="26047.64"/>
    <n v="37683.47"/>
  </r>
  <r>
    <x v="5"/>
    <x v="4"/>
    <s v="751 - Conservação de energia"/>
    <x v="1218"/>
    <n v="3299865.52"/>
    <n v="2709831.85"/>
    <n v="6590.5"/>
  </r>
  <r>
    <x v="5"/>
    <x v="1"/>
    <s v="846 - Outros encargos especiais"/>
    <x v="0"/>
    <n v="114445542.69"/>
    <n v="114445542.69"/>
    <n v="10261.799999999999"/>
  </r>
  <r>
    <x v="5"/>
    <x v="17"/>
    <s v="451 - infra-estrutura urbana"/>
    <x v="0"/>
    <n v="0"/>
    <n v="0"/>
    <n v="0"/>
  </r>
  <r>
    <x v="5"/>
    <x v="3"/>
    <s v="542 - Controle ambiental"/>
    <x v="0"/>
    <n v="210326.72"/>
    <n v="210326.72"/>
    <n v="269300"/>
  </r>
  <r>
    <x v="5"/>
    <x v="14"/>
    <s v="421 - Custódia e reintegração social"/>
    <x v="0"/>
    <n v="0"/>
    <n v="0"/>
    <n v="0"/>
  </r>
  <r>
    <x v="5"/>
    <x v="21"/>
    <s v="813 - Lazer"/>
    <x v="0"/>
    <n v="0"/>
    <n v="0"/>
    <n v="187834.23"/>
  </r>
  <r>
    <x v="5"/>
    <x v="18"/>
    <s v="301 - Atenção básica"/>
    <x v="0"/>
    <n v="0"/>
    <n v="0"/>
    <n v="0"/>
  </r>
  <r>
    <x v="5"/>
    <x v="10"/>
    <s v="126 - Tecnologia da informação"/>
    <x v="1219"/>
    <n v="895463.74"/>
    <n v="1350400.85"/>
    <n v="9920027.5199999996"/>
  </r>
  <r>
    <x v="5"/>
    <x v="23"/>
    <s v="846 - Outros encargos especiais"/>
    <x v="1220"/>
    <n v="14800187.310000001"/>
    <n v="14851751.82"/>
    <n v="0"/>
  </r>
  <r>
    <x v="5"/>
    <x v="16"/>
    <s v="301 - Atenção básica"/>
    <x v="0"/>
    <n v="0"/>
    <n v="0"/>
    <n v="10489.29"/>
  </r>
  <r>
    <x v="5"/>
    <x v="7"/>
    <s v="541 - Preservação e conservação ambiental"/>
    <x v="0"/>
    <n v="0"/>
    <n v="0"/>
    <n v="4500"/>
  </r>
  <r>
    <x v="5"/>
    <x v="5"/>
    <s v="131 - Comunicação social"/>
    <x v="0"/>
    <n v="0"/>
    <n v="0"/>
    <n v="0"/>
  </r>
  <r>
    <x v="5"/>
    <x v="5"/>
    <s v="541 - Preservação e conservação ambiental"/>
    <x v="1221"/>
    <n v="0"/>
    <n v="0"/>
    <n v="36500"/>
  </r>
  <r>
    <x v="5"/>
    <x v="12"/>
    <s v="662 - Produção industrial"/>
    <x v="1222"/>
    <n v="2025198.53"/>
    <n v="1427872.4"/>
    <n v="41044.160000000003"/>
  </r>
  <r>
    <x v="5"/>
    <x v="0"/>
    <s v="571 - Desenvolvimento científico"/>
    <x v="0"/>
    <n v="0"/>
    <n v="0"/>
    <n v="58757736"/>
  </r>
  <r>
    <x v="5"/>
    <x v="0"/>
    <s v="131 - Comunicação social"/>
    <x v="0"/>
    <n v="565331.5"/>
    <n v="565331.5"/>
    <n v="25676.41"/>
  </r>
  <r>
    <x v="5"/>
    <x v="26"/>
    <s v="128 - Formação de recursos humanos"/>
    <x v="0"/>
    <n v="5562.26"/>
    <n v="5562.26"/>
    <n v="40983.03"/>
  </r>
  <r>
    <x v="5"/>
    <x v="1"/>
    <s v="301 - Atenção básica"/>
    <x v="0"/>
    <n v="0"/>
    <n v="0"/>
    <n v="249824.78"/>
  </r>
  <r>
    <x v="5"/>
    <x v="4"/>
    <s v="665 - Normalização e qualidade"/>
    <x v="1223"/>
    <n v="64168.86"/>
    <n v="45370.79"/>
    <n v="248605.05"/>
  </r>
  <r>
    <x v="5"/>
    <x v="2"/>
    <s v="573 - Difusão do conhecimento científico e tecnológico"/>
    <x v="1224"/>
    <n v="514553.84"/>
    <n v="547091.26"/>
    <n v="19876.77"/>
  </r>
  <r>
    <x v="5"/>
    <x v="10"/>
    <s v="845 - Outras transferências"/>
    <x v="1225"/>
    <n v="189135621.11000001"/>
    <n v="129154080.31"/>
    <n v="0"/>
  </r>
  <r>
    <x v="5"/>
    <x v="3"/>
    <s v="128 - Formação de recursos humanos"/>
    <x v="0"/>
    <n v="387261.64"/>
    <n v="387261.64"/>
    <n v="130.9"/>
  </r>
  <r>
    <x v="5"/>
    <x v="9"/>
    <s v="122 - Administração geral"/>
    <x v="1226"/>
    <n v="961652.91"/>
    <n v="953793.99"/>
    <n v="0"/>
  </r>
  <r>
    <x v="5"/>
    <x v="5"/>
    <s v="363 - Ensino profissional"/>
    <x v="0"/>
    <n v="0"/>
    <n v="0"/>
    <n v="21600"/>
  </r>
  <r>
    <x v="5"/>
    <x v="10"/>
    <s v="846 - Outros encargos especiais"/>
    <x v="1227"/>
    <n v="46211272.270000003"/>
    <n v="46214689.390000001"/>
    <n v="0"/>
  </r>
  <r>
    <x v="5"/>
    <x v="14"/>
    <s v="211 - Relações diplomáticas"/>
    <x v="1228"/>
    <n v="0"/>
    <n v="0"/>
    <n v="0"/>
  </r>
  <r>
    <x v="5"/>
    <x v="10"/>
    <s v="092 - Representação judicial e extrajudicial"/>
    <x v="1229"/>
    <n v="5325886.43"/>
    <n v="5288903.53"/>
    <n v="0"/>
  </r>
  <r>
    <x v="5"/>
    <x v="11"/>
    <s v="841 - Refinanciamento da dívida interna"/>
    <x v="1230"/>
    <n v="5607864928.8999996"/>
    <n v="5607864928.8999996"/>
    <n v="0"/>
  </r>
  <r>
    <x v="5"/>
    <x v="17"/>
    <s v="482 - Habitação urbana"/>
    <x v="1231"/>
    <n v="13333.34"/>
    <n v="13333.34"/>
    <n v="0"/>
  </r>
  <r>
    <x v="5"/>
    <x v="14"/>
    <s v="131 - Comunicação social"/>
    <x v="0"/>
    <n v="0"/>
    <n v="0"/>
    <n v="0"/>
  </r>
  <r>
    <x v="5"/>
    <x v="7"/>
    <s v="391 - Patrimônio histórico, artístico e arqueológico"/>
    <x v="1232"/>
    <n v="344052.44"/>
    <n v="259927.36"/>
    <n v="594447.94999999995"/>
  </r>
  <r>
    <x v="5"/>
    <x v="22"/>
    <s v="126 - Tecnologia da informação"/>
    <x v="1233"/>
    <n v="12953958.16"/>
    <n v="24685310.649999999"/>
    <n v="16456903.75"/>
  </r>
  <r>
    <x v="5"/>
    <x v="3"/>
    <s v="121 - Planejamento e orçamento"/>
    <x v="1234"/>
    <n v="2547000"/>
    <n v="2200000"/>
    <n v="6300"/>
  </r>
  <r>
    <x v="5"/>
    <x v="10"/>
    <s v="125 - Normatização e fiscalização"/>
    <x v="1235"/>
    <n v="229429.33"/>
    <n v="235138.67"/>
    <n v="0"/>
  </r>
  <r>
    <x v="5"/>
    <x v="13"/>
    <s v="122 - Administração geral"/>
    <x v="1236"/>
    <n v="5610012.7300000004"/>
    <n v="5582522.2800000003"/>
    <n v="152430.35999999999"/>
  </r>
  <r>
    <x v="5"/>
    <x v="5"/>
    <s v="606 - Extensão rural"/>
    <x v="0"/>
    <n v="0"/>
    <n v="0"/>
    <n v="13232706.859999999"/>
  </r>
  <r>
    <x v="5"/>
    <x v="8"/>
    <s v="608 - Promoção da produção agropecuária"/>
    <x v="1237"/>
    <n v="91235.54"/>
    <n v="89590.95"/>
    <n v="0"/>
  </r>
  <r>
    <x v="5"/>
    <x v="4"/>
    <s v="128 - Formação de recursos humanos"/>
    <x v="1238"/>
    <n v="428904.98"/>
    <n v="405192.26"/>
    <n v="6108.5"/>
  </r>
  <r>
    <x v="5"/>
    <x v="24"/>
    <s v="032 - Controle externo"/>
    <x v="1239"/>
    <n v="253090.95"/>
    <n v="241658.42"/>
    <n v="0"/>
  </r>
  <r>
    <x v="5"/>
    <x v="23"/>
    <s v="695 - Turismo"/>
    <x v="0"/>
    <n v="0"/>
    <n v="0"/>
    <n v="15973.13"/>
  </r>
  <r>
    <x v="5"/>
    <x v="26"/>
    <s v="126 - Tecnologia da informação"/>
    <x v="1240"/>
    <n v="13324390.619999999"/>
    <n v="10602929.02"/>
    <n v="11551877.359999999"/>
  </r>
  <r>
    <x v="5"/>
    <x v="16"/>
    <s v="665 - Normalização e qualidade"/>
    <x v="1241"/>
    <n v="696396.72"/>
    <n v="765127.26"/>
    <n v="20880"/>
  </r>
  <r>
    <x v="5"/>
    <x v="19"/>
    <s v="665 - Normalização e qualidade"/>
    <x v="0"/>
    <n v="0"/>
    <n v="0"/>
    <n v="64116"/>
  </r>
  <r>
    <x v="5"/>
    <x v="7"/>
    <s v="121 - Planejamento e orçamento"/>
    <x v="1242"/>
    <n v="10433232.18"/>
    <n v="68343.06"/>
    <n v="168556.29"/>
  </r>
  <r>
    <x v="5"/>
    <x v="3"/>
    <s v="541 - Preservação e conservação ambiental"/>
    <x v="0"/>
    <n v="0"/>
    <n v="0"/>
    <n v="183023"/>
  </r>
  <r>
    <x v="5"/>
    <x v="3"/>
    <s v="846 - Outros encargos especiais"/>
    <x v="1243"/>
    <n v="15433628.91"/>
    <n v="15437198.09"/>
    <n v="0"/>
  </r>
  <r>
    <x v="5"/>
    <x v="13"/>
    <s v="511 - Saneamento básico rural"/>
    <x v="1244"/>
    <n v="2258000"/>
    <n v="2258000"/>
    <n v="0"/>
  </r>
  <r>
    <x v="5"/>
    <x v="18"/>
    <s v="422 - Direitos individuais, coletivos e difusos"/>
    <x v="1245"/>
    <n v="49002.33"/>
    <n v="64788.67"/>
    <n v="0"/>
  </r>
  <r>
    <x v="5"/>
    <x v="16"/>
    <s v="571 - Desenvolvimento científico"/>
    <x v="0"/>
    <n v="0"/>
    <n v="37602.03"/>
    <n v="0"/>
  </r>
  <r>
    <x v="5"/>
    <x v="4"/>
    <s v="121 - Planejamento e orçamento"/>
    <x v="1246"/>
    <n v="85211.97"/>
    <n v="81045.58"/>
    <n v="0"/>
  </r>
  <r>
    <x v="5"/>
    <x v="23"/>
    <s v="128 - Formação de recursos humanos"/>
    <x v="1247"/>
    <n v="92551.91"/>
    <n v="87263.58"/>
    <n v="512096"/>
  </r>
  <r>
    <x v="5"/>
    <x v="0"/>
    <s v="366 - Educação de jovens e adultos"/>
    <x v="0"/>
    <n v="5500"/>
    <n v="5500"/>
    <n v="210282.28"/>
  </r>
  <r>
    <x v="5"/>
    <x v="3"/>
    <s v="691 - Promoção comercial"/>
    <x v="0"/>
    <n v="0"/>
    <n v="0"/>
    <n v="5945.55"/>
  </r>
  <r>
    <x v="5"/>
    <x v="6"/>
    <s v="691 - Promoção comercial"/>
    <x v="1248"/>
    <n v="0"/>
    <n v="0"/>
    <n v="417341.83"/>
  </r>
  <r>
    <x v="5"/>
    <x v="12"/>
    <s v="123 - Administração financeira"/>
    <x v="1249"/>
    <n v="412190.32"/>
    <n v="389411.37"/>
    <n v="148086.49"/>
  </r>
  <r>
    <x v="5"/>
    <x v="4"/>
    <s v="752 - Energia elétrica"/>
    <x v="1250"/>
    <n v="1961686.06"/>
    <n v="1967438.81"/>
    <n v="34748.51"/>
  </r>
  <r>
    <x v="5"/>
    <x v="12"/>
    <s v="131 - Comunicação social"/>
    <x v="1251"/>
    <n v="4112887.97"/>
    <n v="4070039.49"/>
    <n v="62223.74"/>
  </r>
  <r>
    <x v="5"/>
    <x v="20"/>
    <s v="812 - Desporto comunitário"/>
    <x v="1252"/>
    <n v="53731.58"/>
    <n v="29687.74"/>
    <n v="625517.72"/>
  </r>
  <r>
    <x v="5"/>
    <x v="2"/>
    <s v="212 - Cooperação internacional"/>
    <x v="1253"/>
    <n v="422626.9"/>
    <n v="426652.66"/>
    <n v="-4007.55"/>
  </r>
  <r>
    <x v="5"/>
    <x v="19"/>
    <s v="301 - Atenção básica"/>
    <x v="0"/>
    <n v="0"/>
    <n v="0"/>
    <n v="46788.58"/>
  </r>
  <r>
    <x v="5"/>
    <x v="11"/>
    <s v="843 - Serviço da dívida interna"/>
    <x v="1254"/>
    <n v="1504198980.75"/>
    <n v="1502707430.48"/>
    <n v="0"/>
  </r>
  <r>
    <x v="5"/>
    <x v="23"/>
    <s v="571 - Desenvolvimento científico"/>
    <x v="1255"/>
    <n v="67297.009999999995"/>
    <n v="37659.68"/>
    <n v="163719.46"/>
  </r>
  <r>
    <x v="5"/>
    <x v="4"/>
    <s v="331 - Proteção e benefícios ao trabalhador"/>
    <x v="1256"/>
    <n v="2579650.5299999998"/>
    <n v="2572074.5099999998"/>
    <n v="0"/>
  </r>
  <r>
    <x v="5"/>
    <x v="6"/>
    <s v="693 - Comércio exterior"/>
    <x v="1257"/>
    <n v="51144479.189999998"/>
    <n v="51055436.009999998"/>
    <n v="1381699.74"/>
  </r>
  <r>
    <x v="5"/>
    <x v="26"/>
    <s v="130 - Administração de concessões"/>
    <x v="1258"/>
    <n v="30831.63"/>
    <n v="30831.63"/>
    <n v="0"/>
  </r>
  <r>
    <x v="5"/>
    <x v="15"/>
    <s v="061 - Ação judiciária"/>
    <x v="1259"/>
    <n v="585321.18999999994"/>
    <n v="585321.18999999994"/>
    <n v="79504.97"/>
  </r>
  <r>
    <x v="5"/>
    <x v="21"/>
    <s v="128 - Formação de recursos humanos"/>
    <x v="1260"/>
    <n v="62865.87"/>
    <n v="62923.69"/>
    <n v="30043.9"/>
  </r>
  <r>
    <x v="5"/>
    <x v="15"/>
    <s v="032 - Controle externo"/>
    <x v="1261"/>
    <n v="0"/>
    <n v="0"/>
    <n v="0"/>
  </r>
  <r>
    <x v="5"/>
    <x v="12"/>
    <s v="129 - Administração de receitas"/>
    <x v="0"/>
    <n v="37834756.270000003"/>
    <n v="37834756.270000003"/>
    <n v="50"/>
  </r>
  <r>
    <x v="5"/>
    <x v="22"/>
    <s v="334 - Fomento ao trabalho"/>
    <x v="1262"/>
    <n v="1978403146.8699999"/>
    <n v="1978401837.52"/>
    <n v="400497.98"/>
  </r>
  <r>
    <x v="5"/>
    <x v="7"/>
    <s v="131 - Comunicação social"/>
    <x v="1263"/>
    <n v="20967536.84"/>
    <n v="21486410.34"/>
    <n v="6949452.2300000004"/>
  </r>
  <r>
    <x v="5"/>
    <x v="14"/>
    <s v="846 - Outros encargos especiais"/>
    <x v="1264"/>
    <n v="6559292.2199999997"/>
    <n v="5688585.3300000001"/>
    <n v="0"/>
  </r>
  <r>
    <x v="5"/>
    <x v="7"/>
    <s v="124 - Controle interno"/>
    <x v="0"/>
    <n v="44428.45"/>
    <n v="44168.88"/>
    <n v="0"/>
  </r>
  <r>
    <x v="5"/>
    <x v="19"/>
    <s v="846 - Outros encargos especiais"/>
    <x v="0"/>
    <n v="671150.18"/>
    <n v="568392.31999999995"/>
    <n v="0"/>
  </r>
  <r>
    <x v="5"/>
    <x v="3"/>
    <s v="301 - Atenção básica"/>
    <x v="0"/>
    <n v="0"/>
    <n v="0"/>
    <n v="647.58000000000004"/>
  </r>
  <r>
    <x v="5"/>
    <x v="22"/>
    <s v="846 - Outros encargos especiais"/>
    <x v="1265"/>
    <n v="31826014.16"/>
    <n v="31826014.16"/>
    <n v="0"/>
  </r>
  <r>
    <x v="5"/>
    <x v="1"/>
    <s v="422 - Direitos individuais, coletivos e difusos"/>
    <x v="1266"/>
    <n v="0"/>
    <n v="0"/>
    <n v="207719.7"/>
  </r>
  <r>
    <x v="5"/>
    <x v="11"/>
    <s v="847 - Transferências para a educação básica"/>
    <x v="0"/>
    <n v="7231820208.1400003"/>
    <n v="7231820208.1400003"/>
    <n v="0"/>
  </r>
  <r>
    <x v="5"/>
    <x v="13"/>
    <s v="125 - Normatização e fiscalização"/>
    <x v="1267"/>
    <n v="218708.91"/>
    <n v="211288.06"/>
    <n v="110.18"/>
  </r>
  <r>
    <x v="5"/>
    <x v="12"/>
    <s v="126 - Tecnologia da informação"/>
    <x v="1268"/>
    <n v="134676466.63999999"/>
    <n v="235256625.63"/>
    <n v="16725290.140000001"/>
  </r>
  <r>
    <x v="5"/>
    <x v="12"/>
    <s v="573 - Difusão do conhecimento científico e tecnológico"/>
    <x v="1269"/>
    <n v="0"/>
    <n v="1360.16"/>
    <n v="84292.7"/>
  </r>
  <r>
    <x v="5"/>
    <x v="3"/>
    <s v="212 - Cooperação internacional"/>
    <x v="1270"/>
    <n v="27230.1"/>
    <n v="8613.7800000000007"/>
    <n v="-66879.95"/>
  </r>
  <r>
    <x v="5"/>
    <x v="1"/>
    <s v="331 - Proteção e benefícios ao trabalhador"/>
    <x v="1271"/>
    <n v="35741183.759999998"/>
    <n v="36472096.229999997"/>
    <n v="0"/>
  </r>
  <r>
    <x v="5"/>
    <x v="18"/>
    <s v="126 - Tecnologia da informação"/>
    <x v="1272"/>
    <n v="2707262.36"/>
    <n v="907262.36"/>
    <n v="691777.88"/>
  </r>
  <r>
    <x v="5"/>
    <x v="6"/>
    <s v="122 - Administração geral"/>
    <x v="0"/>
    <n v="12051.78"/>
    <n v="12051.78"/>
    <n v="694481.38"/>
  </r>
  <r>
    <x v="5"/>
    <x v="1"/>
    <s v="421 - Custódia e reintegração social"/>
    <x v="1273"/>
    <n v="2443956.04"/>
    <n v="2460724.89"/>
    <n v="18742121.350000001"/>
  </r>
  <r>
    <x v="5"/>
    <x v="23"/>
    <s v="573 - Difusão do conhecimento científico e tecnológico"/>
    <x v="1274"/>
    <n v="65306.45"/>
    <n v="72656.17"/>
    <n v="13474.54"/>
  </r>
  <r>
    <x v="5"/>
    <x v="0"/>
    <s v="847 - Transferências para a educação básica"/>
    <x v="1275"/>
    <n v="2940028348.4200001"/>
    <n v="2940028348.4200001"/>
    <n v="439505.53"/>
  </r>
  <r>
    <x v="5"/>
    <x v="8"/>
    <s v="606 - Extensão rural"/>
    <x v="1276"/>
    <n v="687132.53"/>
    <n v="665757.77"/>
    <n v="52606.38"/>
  </r>
  <r>
    <x v="5"/>
    <x v="22"/>
    <s v="571 - Desenvolvimento científico"/>
    <x v="1277"/>
    <n v="16563.57"/>
    <n v="18099.77"/>
    <n v="71794.44"/>
  </r>
  <r>
    <x v="5"/>
    <x v="8"/>
    <s v="422 - Direitos individuais, coletivos e difusos"/>
    <x v="1278"/>
    <n v="72562.73"/>
    <n v="79685.899999999994"/>
    <n v="0"/>
  </r>
  <r>
    <x v="5"/>
    <x v="3"/>
    <s v="662 - Produção industrial"/>
    <x v="1279"/>
    <n v="12694132.279999999"/>
    <n v="14552276.5"/>
    <n v="3463202.31"/>
  </r>
  <r>
    <x v="5"/>
    <x v="14"/>
    <s v="331 - Proteção e benefícios ao trabalhador"/>
    <x v="0"/>
    <n v="1718164.58"/>
    <n v="1697936.32"/>
    <n v="0"/>
  </r>
  <r>
    <x v="5"/>
    <x v="18"/>
    <s v="331 - Proteção e benefícios ao trabalhador"/>
    <x v="1280"/>
    <n v="2850901.85"/>
    <n v="2397160.0499999998"/>
    <n v="0"/>
  </r>
  <r>
    <x v="5"/>
    <x v="0"/>
    <s v="123 - Administração financeira"/>
    <x v="0"/>
    <n v="40352575.850000001"/>
    <n v="40352575.850000001"/>
    <n v="23466203.77"/>
  </r>
  <r>
    <x v="5"/>
    <x v="21"/>
    <s v="846 - Outros encargos especiais"/>
    <x v="1281"/>
    <n v="5592285.8300000001"/>
    <n v="5623673.4400000004"/>
    <n v="0"/>
  </r>
  <r>
    <x v="5"/>
    <x v="13"/>
    <s v="241 - Assistência ao idoso"/>
    <x v="740"/>
    <n v="3292629672.3800001"/>
    <n v="3258510454.5999999"/>
    <n v="0"/>
  </r>
  <r>
    <x v="5"/>
    <x v="7"/>
    <s v="573 - Difusão do conhecimento científico e tecnológico"/>
    <x v="1282"/>
    <n v="4415294.21"/>
    <n v="3566402.98"/>
    <n v="3903824.9"/>
  </r>
  <r>
    <x v="5"/>
    <x v="7"/>
    <s v="304 - Vigilância sanitária"/>
    <x v="1283"/>
    <n v="29242610.609999999"/>
    <n v="28313102.73"/>
    <n v="107647.06"/>
  </r>
  <r>
    <x v="5"/>
    <x v="12"/>
    <s v="092 - Representação judicial e extrajudicial"/>
    <x v="1284"/>
    <n v="20900387.260000002"/>
    <n v="24912803.789999999"/>
    <n v="20230.240000000002"/>
  </r>
  <r>
    <x v="5"/>
    <x v="7"/>
    <s v="126 - Tecnologia da informação"/>
    <x v="1285"/>
    <n v="15386866.560000001"/>
    <n v="23925877.890000001"/>
    <n v="2294414.4700000002"/>
  </r>
  <r>
    <x v="5"/>
    <x v="20"/>
    <s v="781 - Transporte aéreo"/>
    <x v="1286"/>
    <n v="250682.05"/>
    <n v="250682.05"/>
    <n v="600486.84"/>
  </r>
  <r>
    <x v="5"/>
    <x v="2"/>
    <s v="691 - Promoção comercial"/>
    <x v="1287"/>
    <n v="593387.65"/>
    <n v="606990.17000000004"/>
    <n v="130387.5"/>
  </r>
  <r>
    <x v="5"/>
    <x v="20"/>
    <s v="364 - Ensino superior"/>
    <x v="1288"/>
    <n v="674894.02"/>
    <n v="581366.81999999995"/>
    <n v="332201.07"/>
  </r>
  <r>
    <x v="5"/>
    <x v="13"/>
    <s v="243 - Assistência à criança e ao adolescente"/>
    <x v="1289"/>
    <n v="36186580.619999997"/>
    <n v="39121769.810000002"/>
    <n v="0"/>
  </r>
  <r>
    <x v="5"/>
    <x v="7"/>
    <s v="125 - Normatização e fiscalização"/>
    <x v="1290"/>
    <n v="1476897.48"/>
    <n v="1481736.11"/>
    <n v="411868.47"/>
  </r>
  <r>
    <x v="5"/>
    <x v="20"/>
    <s v="302 - Assistência hospitalar e ambulatorial"/>
    <x v="1291"/>
    <n v="3124463.54"/>
    <n v="3261896.57"/>
    <n v="1303431.92"/>
  </r>
  <r>
    <x v="5"/>
    <x v="15"/>
    <s v="122 - Administração geral"/>
    <x v="0"/>
    <n v="17934.3"/>
    <n v="0"/>
    <n v="19207.240000000002"/>
  </r>
  <r>
    <x v="5"/>
    <x v="11"/>
    <s v="844 - Serviço da dívida externa"/>
    <x v="1292"/>
    <n v="1781895563.6500001"/>
    <n v="1781895563.6500001"/>
    <n v="0"/>
  </r>
  <r>
    <x v="5"/>
    <x v="20"/>
    <s v="571 - Desenvolvimento científico"/>
    <x v="1293"/>
    <n v="187311.26"/>
    <n v="189278.44"/>
    <n v="1098884.3500000001"/>
  </r>
  <r>
    <x v="5"/>
    <x v="20"/>
    <s v="722 - Telecomunicações"/>
    <x v="1294"/>
    <n v="37912.39"/>
    <n v="45570.85"/>
    <n v="4953224.6399999997"/>
  </r>
  <r>
    <x v="5"/>
    <x v="12"/>
    <s v="391 - Patrimônio histórico, artístico e arqueológico"/>
    <x v="1295"/>
    <n v="2208156.85"/>
    <n v="2457071.8199999998"/>
    <n v="107911.24"/>
  </r>
  <r>
    <x v="5"/>
    <x v="9"/>
    <s v="331 - Proteção e benefícios ao trabalhador"/>
    <x v="0"/>
    <n v="8936896.6699999999"/>
    <n v="6605448.2800000003"/>
    <n v="0"/>
  </r>
  <r>
    <x v="5"/>
    <x v="7"/>
    <s v="572 - Desenvolvimento tecnológico e engenharia"/>
    <x v="1296"/>
    <n v="3570583.9"/>
    <n v="3734077.67"/>
    <n v="1563612.37"/>
  </r>
  <r>
    <x v="5"/>
    <x v="20"/>
    <s v="126 - Tecnologia da informação"/>
    <x v="1297"/>
    <n v="1308821.74"/>
    <n v="1282974.08"/>
    <n v="5773326.5800000001"/>
  </r>
  <r>
    <x v="5"/>
    <x v="26"/>
    <s v="331 - Proteção e benefícios ao trabalhador"/>
    <x v="1298"/>
    <n v="7886095.54"/>
    <n v="7965134.6900000004"/>
    <n v="0"/>
  </r>
  <r>
    <x v="5"/>
    <x v="13"/>
    <s v="242 - Assistência ao portador de deficiência"/>
    <x v="1299"/>
    <n v="4129021787.0900002"/>
    <n v="4050031062.6300001"/>
    <n v="0"/>
  </r>
  <r>
    <x v="5"/>
    <x v="20"/>
    <s v="846 - Outros encargos especiais"/>
    <x v="1300"/>
    <n v="20338569.789999999"/>
    <n v="20338569.789999999"/>
    <n v="0"/>
  </r>
  <r>
    <x v="5"/>
    <x v="8"/>
    <s v="363 - Ensino profissional"/>
    <x v="1301"/>
    <n v="250587.2"/>
    <n v="198925.2"/>
    <n v="846374.07"/>
  </r>
  <r>
    <x v="5"/>
    <x v="0"/>
    <s v="573 - Difusão do conhecimento científico e tecnológico"/>
    <x v="1302"/>
    <n v="72781988.010000005"/>
    <n v="72791021.5"/>
    <n v="-3895.44"/>
  </r>
  <r>
    <x v="5"/>
    <x v="21"/>
    <s v="391 - Patrimônio histórico, artístico e arqueológico"/>
    <x v="1303"/>
    <n v="753912.91"/>
    <n v="725312.6"/>
    <n v="5379667.96"/>
  </r>
  <r>
    <x v="5"/>
    <x v="21"/>
    <s v="331 - Proteção e benefícios ao trabalhador"/>
    <x v="1304"/>
    <n v="2919209.7"/>
    <n v="2954067.04"/>
    <n v="0"/>
  </r>
  <r>
    <x v="5"/>
    <x v="20"/>
    <s v="244 - Assistência comunitária"/>
    <x v="1305"/>
    <n v="223743.69"/>
    <n v="226421.43"/>
    <n v="40297509.159999996"/>
  </r>
  <r>
    <x v="5"/>
    <x v="18"/>
    <s v="131 - Comunicação social"/>
    <x v="1306"/>
    <n v="1144605.69"/>
    <n v="1144605.69"/>
    <n v="10207511.699999999"/>
  </r>
  <r>
    <x v="5"/>
    <x v="21"/>
    <s v="392 - Difusão cultural"/>
    <x v="1307"/>
    <n v="166173075.63999999"/>
    <n v="16593057.52"/>
    <n v="14868698.48"/>
  </r>
  <r>
    <x v="5"/>
    <x v="13"/>
    <s v="306 - Alimentação e nutrição"/>
    <x v="1308"/>
    <n v="81915.8"/>
    <n v="81915.8"/>
    <n v="15374407.51"/>
  </r>
  <r>
    <x v="5"/>
    <x v="16"/>
    <s v="128 - Formação de recursos humanos"/>
    <x v="1309"/>
    <n v="214479.86"/>
    <n v="120934.64"/>
    <n v="0"/>
  </r>
  <r>
    <x v="5"/>
    <x v="20"/>
    <s v="573 - Difusão do conhecimento científico e tecnológico"/>
    <x v="1310"/>
    <n v="43163.91"/>
    <n v="34416.03"/>
    <n v="14349.98"/>
  </r>
  <r>
    <x v="5"/>
    <x v="5"/>
    <s v="331 - Proteção e benefícios ao trabalhador"/>
    <x v="1311"/>
    <n v="14363083.08"/>
    <n v="20385595"/>
    <n v="0"/>
  </r>
  <r>
    <x v="5"/>
    <x v="10"/>
    <s v="122 - Administração geral"/>
    <x v="1312"/>
    <n v="259805349.71000001"/>
    <n v="215350189.63"/>
    <n v="14408012.619999999"/>
  </r>
  <r>
    <x v="5"/>
    <x v="26"/>
    <s v="784 - Transporte hidroviário"/>
    <x v="1313"/>
    <n v="84608079.290000007"/>
    <n v="86704836.319999993"/>
    <n v="8675628.4900000002"/>
  </r>
  <r>
    <x v="5"/>
    <x v="20"/>
    <s v="121 - Planejamento e orçamento"/>
    <x v="1314"/>
    <n v="87686.97"/>
    <n v="79784.3"/>
    <n v="119185.96"/>
  </r>
  <r>
    <x v="5"/>
    <x v="23"/>
    <s v="331 - Proteção e benefícios ao trabalhador"/>
    <x v="1315"/>
    <n v="5234306.1900000004"/>
    <n v="5225666.76"/>
    <n v="0"/>
  </r>
  <r>
    <x v="5"/>
    <x v="19"/>
    <s v="122 - Administração geral"/>
    <x v="1316"/>
    <n v="62562064.409999996"/>
    <n v="52100672.049999997"/>
    <n v="1715.07"/>
  </r>
  <r>
    <x v="5"/>
    <x v="5"/>
    <s v="607 - Irrigação"/>
    <x v="1317"/>
    <n v="11998569.23"/>
    <n v="16191779.98"/>
    <n v="2683937.0299999998"/>
  </r>
  <r>
    <x v="5"/>
    <x v="3"/>
    <s v="125 - Normatização e fiscalização"/>
    <x v="59"/>
    <n v="34716.86"/>
    <n v="34716.86"/>
    <n v="378679.42"/>
  </r>
  <r>
    <x v="5"/>
    <x v="19"/>
    <s v="128 - Formação de recursos humanos"/>
    <x v="1318"/>
    <n v="78156.98"/>
    <n v="106448.47"/>
    <n v="4416.51"/>
  </r>
  <r>
    <x v="5"/>
    <x v="19"/>
    <s v="451 - infra-estrutura urbana"/>
    <x v="1319"/>
    <n v="0"/>
    <n v="0"/>
    <n v="72450674.140000001"/>
  </r>
  <r>
    <x v="5"/>
    <x v="12"/>
    <s v="722 - Telecomunicações"/>
    <x v="1320"/>
    <n v="5780522.6600000001"/>
    <n v="6665236.2300000004"/>
    <n v="0"/>
  </r>
  <r>
    <x v="5"/>
    <x v="20"/>
    <s v="303 - Suporte profilático e terapêutico"/>
    <x v="0"/>
    <n v="67540"/>
    <n v="125540.42"/>
    <n v="0"/>
  </r>
  <r>
    <x v="5"/>
    <x v="4"/>
    <s v="572 - Desenvolvimento tecnológico e engenharia"/>
    <x v="1321"/>
    <n v="5982398.6699999999"/>
    <n v="5917338.4000000004"/>
    <n v="388595.14"/>
  </r>
  <r>
    <x v="5"/>
    <x v="23"/>
    <s v="543 - Recuperação de áreas degradadas"/>
    <x v="1322"/>
    <n v="796886.75"/>
    <n v="722316.37"/>
    <n v="225265.77"/>
  </r>
  <r>
    <x v="5"/>
    <x v="8"/>
    <s v="127 - Ordenamento territorial"/>
    <x v="1323"/>
    <n v="783414.59"/>
    <n v="434894.86"/>
    <n v="6723378.9000000004"/>
  </r>
  <r>
    <x v="5"/>
    <x v="16"/>
    <s v="846 - Outros encargos especiais"/>
    <x v="1324"/>
    <n v="8829007.25"/>
    <n v="8829341.6899999995"/>
    <n v="0"/>
  </r>
  <r>
    <x v="5"/>
    <x v="16"/>
    <s v="661 - Promoção industrial"/>
    <x v="1325"/>
    <n v="263024.62"/>
    <n v="241100.83"/>
    <n v="292246.52"/>
  </r>
  <r>
    <x v="5"/>
    <x v="19"/>
    <s v="331 - Proteção e benefícios ao trabalhador"/>
    <x v="1326"/>
    <n v="7624565.8700000001"/>
    <n v="7588614.3099999996"/>
    <n v="0"/>
  </r>
  <r>
    <x v="5"/>
    <x v="20"/>
    <s v="811 - Desporto de rendimento"/>
    <x v="1327"/>
    <n v="174555.16"/>
    <n v="50185.01"/>
    <n v="10231.450000000001"/>
  </r>
  <r>
    <x v="5"/>
    <x v="5"/>
    <s v="573 - Difusão do conhecimento científico e tecnológico"/>
    <x v="1328"/>
    <n v="641049.56999999995"/>
    <n v="321874.37"/>
    <n v="898110.27"/>
  </r>
  <r>
    <x v="5"/>
    <x v="27"/>
    <s v="811 - Desporto de rendimento"/>
    <x v="1329"/>
    <n v="11365930.310000001"/>
    <n v="11359628.84"/>
    <n v="8045453.5499999998"/>
  </r>
  <r>
    <x v="5"/>
    <x v="7"/>
    <s v="512 - Saneamento básico urbano"/>
    <x v="0"/>
    <n v="0"/>
    <n v="0"/>
    <n v="2403.5500000000002"/>
  </r>
  <r>
    <x v="5"/>
    <x v="18"/>
    <s v="722 - Telecomunicações"/>
    <x v="1330"/>
    <n v="28167173.609999999"/>
    <n v="40764224.609999999"/>
    <n v="21318700.620000001"/>
  </r>
  <r>
    <x v="5"/>
    <x v="26"/>
    <s v="125 - Normatização e fiscalização"/>
    <x v="1331"/>
    <n v="14874418.050000001"/>
    <n v="13449505.15"/>
    <n v="7750126.6500000004"/>
  </r>
  <r>
    <x v="5"/>
    <x v="23"/>
    <s v="512 - Saneamento básico urbano"/>
    <x v="1332"/>
    <n v="155329.51"/>
    <n v="155329.51"/>
    <n v="0"/>
  </r>
  <r>
    <x v="5"/>
    <x v="0"/>
    <s v="301 - Atenção básica"/>
    <x v="0"/>
    <n v="0"/>
    <n v="0"/>
    <n v="92853.82"/>
  </r>
  <r>
    <x v="5"/>
    <x v="20"/>
    <s v="131 - Comunicação social"/>
    <x v="1333"/>
    <n v="46662"/>
    <n v="46662"/>
    <n v="28652.31"/>
  </r>
  <r>
    <x v="5"/>
    <x v="16"/>
    <s v="125 - Normatização e fiscalização"/>
    <x v="1334"/>
    <n v="32919325.489999998"/>
    <n v="32872129"/>
    <n v="26477.919999999998"/>
  </r>
  <r>
    <x v="5"/>
    <x v="12"/>
    <s v="331 - Proteção e benefícios ao trabalhador"/>
    <x v="1335"/>
    <n v="97890836.269999996"/>
    <n v="100179489.5"/>
    <n v="0"/>
  </r>
  <r>
    <x v="5"/>
    <x v="12"/>
    <s v="127 - Ordenamento territorial"/>
    <x v="1336"/>
    <n v="4944326.38"/>
    <n v="5049209.2"/>
    <n v="1306914.72"/>
  </r>
  <r>
    <x v="5"/>
    <x v="12"/>
    <s v="128 - Formação de recursos humanos"/>
    <x v="1337"/>
    <n v="1144568.82"/>
    <n v="1038425.02"/>
    <n v="153634.85999999999"/>
  </r>
  <r>
    <x v="5"/>
    <x v="10"/>
    <s v="124 - Controle interno"/>
    <x v="1338"/>
    <n v="580462.64"/>
    <n v="563232.19999999995"/>
    <n v="0"/>
  </r>
  <r>
    <x v="5"/>
    <x v="10"/>
    <s v="128 - Formação de recursos humanos"/>
    <x v="1339"/>
    <n v="23543.56"/>
    <n v="15660.92"/>
    <n v="0"/>
  </r>
  <r>
    <x v="5"/>
    <x v="23"/>
    <s v="542 - Controle ambiental"/>
    <x v="1340"/>
    <n v="6799246.9000000004"/>
    <n v="3260436.06"/>
    <n v="1961689.06"/>
  </r>
  <r>
    <x v="5"/>
    <x v="7"/>
    <s v="331 - Proteção e benefícios ao trabalhador"/>
    <x v="1341"/>
    <n v="65808464.049999997"/>
    <n v="65764724.810000002"/>
    <n v="0"/>
  </r>
  <r>
    <x v="5"/>
    <x v="8"/>
    <s v="846 - Outros encargos especiais"/>
    <x v="0"/>
    <n v="6293398.6200000001"/>
    <n v="6293398.6200000001"/>
    <n v="0"/>
  </r>
  <r>
    <x v="5"/>
    <x v="12"/>
    <s v="422 - Direitos individuais, coletivos e difusos"/>
    <x v="261"/>
    <n v="118640.12"/>
    <n v="142743.01"/>
    <n v="0"/>
  </r>
  <r>
    <x v="5"/>
    <x v="12"/>
    <s v="846 - Outros encargos especiais"/>
    <x v="1342"/>
    <n v="161467833.58000001"/>
    <n v="161452036.44"/>
    <n v="0"/>
  </r>
  <r>
    <x v="5"/>
    <x v="5"/>
    <s v="301 - Atenção básica"/>
    <x v="0"/>
    <n v="0"/>
    <n v="0"/>
    <n v="8457528.3499999996"/>
  </r>
  <r>
    <x v="5"/>
    <x v="26"/>
    <s v="781 - Transporte aéreo"/>
    <x v="1343"/>
    <n v="4371896.2300000004"/>
    <n v="4160395.48"/>
    <n v="3263859.51"/>
  </r>
  <r>
    <x v="5"/>
    <x v="7"/>
    <s v="303 - Suporte profilático e terapêutico"/>
    <x v="1344"/>
    <n v="1568162691.6400001"/>
    <n v="1682555931.6500001"/>
    <n v="281103318.66000003"/>
  </r>
  <r>
    <x v="5"/>
    <x v="11"/>
    <s v="845 - Outras transferências"/>
    <x v="1345"/>
    <n v="28907959841.189999"/>
    <n v="28540255114.43"/>
    <n v="489278497.72000003"/>
  </r>
  <r>
    <x v="5"/>
    <x v="6"/>
    <s v="695 - Turismo"/>
    <x v="1346"/>
    <n v="24638445.609999999"/>
    <n v="24640417.449999999"/>
    <n v="43180620.329999998"/>
  </r>
  <r>
    <x v="5"/>
    <x v="14"/>
    <s v="422 - Direitos individuais, coletivos e difusos"/>
    <x v="1347"/>
    <n v="14511234.279999999"/>
    <n v="13806974.92"/>
    <n v="14650577.529999999"/>
  </r>
  <r>
    <x v="5"/>
    <x v="18"/>
    <s v="122 - Administração geral"/>
    <x v="1348"/>
    <n v="62638063.399999999"/>
    <n v="48217552.710000001"/>
    <n v="2688542.12"/>
  </r>
  <r>
    <x v="5"/>
    <x v="20"/>
    <s v="482 - Habitação urbana"/>
    <x v="1349"/>
    <n v="11644036.550000001"/>
    <n v="11642169.07"/>
    <n v="11296082.810000001"/>
  </r>
  <r>
    <x v="5"/>
    <x v="10"/>
    <s v="331 - Proteção e benefícios ao trabalhador"/>
    <x v="1350"/>
    <n v="12439288.65"/>
    <n v="12133263.02"/>
    <n v="0"/>
  </r>
  <r>
    <x v="5"/>
    <x v="20"/>
    <s v="542 - Controle ambiental"/>
    <x v="1351"/>
    <n v="2609184.4300000002"/>
    <n v="2672539.7000000002"/>
    <n v="2324678.52"/>
  </r>
  <r>
    <x v="5"/>
    <x v="22"/>
    <s v="333 - Empregabilidade"/>
    <x v="1352"/>
    <n v="48431.75"/>
    <n v="48431.75"/>
    <n v="21137.22"/>
  </r>
  <r>
    <x v="5"/>
    <x v="23"/>
    <s v="125 - Normatização e fiscalização"/>
    <x v="1353"/>
    <n v="21484083.16"/>
    <n v="25211655.02"/>
    <n v="249248.1"/>
  </r>
  <r>
    <x v="5"/>
    <x v="7"/>
    <s v="423 - Assistência aos povos indígenas"/>
    <x v="1354"/>
    <n v="86898510.989999995"/>
    <n v="85264690.730000004"/>
    <n v="5611908.9000000004"/>
  </r>
  <r>
    <x v="5"/>
    <x v="25"/>
    <s v="512 - Saneamento básico urbano"/>
    <x v="1355"/>
    <n v="7845084.0499999998"/>
    <n v="7811178.9000000004"/>
    <n v="15086449.77"/>
  </r>
  <r>
    <x v="5"/>
    <x v="14"/>
    <s v="125 - Normatização e fiscalização"/>
    <x v="1356"/>
    <n v="9352894.8800000008"/>
    <n v="8401988.9399999995"/>
    <n v="1718849.73"/>
  </r>
  <r>
    <x v="5"/>
    <x v="4"/>
    <s v="125 - Normatização e fiscalização"/>
    <x v="1357"/>
    <n v="8536268.9499999993"/>
    <n v="6486676.3200000003"/>
    <n v="862942.46"/>
  </r>
  <r>
    <x v="5"/>
    <x v="12"/>
    <s v="183 - Informação e inteligência"/>
    <x v="1358"/>
    <n v="7438446.2000000002"/>
    <n v="6885705.0499999998"/>
    <n v="152209.42000000001"/>
  </r>
  <r>
    <x v="5"/>
    <x v="20"/>
    <s v="183 - Informação e inteligência"/>
    <x v="1359"/>
    <n v="301282.88"/>
    <n v="320557.7"/>
    <n v="44307.93"/>
  </r>
  <r>
    <x v="5"/>
    <x v="7"/>
    <s v="128 - Formação de recursos humanos"/>
    <x v="1360"/>
    <n v="141841492.83000001"/>
    <n v="132406483.39"/>
    <n v="1830475.38"/>
  </r>
  <r>
    <x v="5"/>
    <x v="20"/>
    <s v="423 - Assistência aos povos indígenas"/>
    <x v="1361"/>
    <n v="25375394.420000002"/>
    <n v="26004466.219999999"/>
    <n v="0"/>
  </r>
  <r>
    <x v="5"/>
    <x v="8"/>
    <s v="631 - Reforma agrária"/>
    <x v="1362"/>
    <n v="2335938.62"/>
    <n v="1155494.98"/>
    <n v="22498330.079999998"/>
  </r>
  <r>
    <x v="5"/>
    <x v="10"/>
    <s v="272 - Previdência do regime estatutário"/>
    <x v="1363"/>
    <n v="11920804991.68"/>
    <n v="7912850199.54"/>
    <n v="1865"/>
  </r>
  <r>
    <x v="5"/>
    <x v="7"/>
    <s v="511 - Saneamento básico rural"/>
    <x v="1364"/>
    <n v="5757507.8600000003"/>
    <n v="5826596.2199999997"/>
    <n v="623254.12"/>
  </r>
  <r>
    <x v="5"/>
    <x v="26"/>
    <s v="121 - Planejamento e orçamento"/>
    <x v="1365"/>
    <n v="3744845.58"/>
    <n v="7506668.2199999997"/>
    <n v="23858016.609999999"/>
  </r>
  <r>
    <x v="5"/>
    <x v="27"/>
    <s v="812 - Desporto comunitário"/>
    <x v="1366"/>
    <n v="1000000"/>
    <n v="1000000"/>
    <n v="47741330.390000001"/>
  </r>
  <r>
    <x v="5"/>
    <x v="19"/>
    <s v="453 - Transportes coletivos urbanos"/>
    <x v="1367"/>
    <n v="20658823.940000001"/>
    <n v="16708421.529999999"/>
    <n v="5870477.2300000004"/>
  </r>
  <r>
    <x v="5"/>
    <x v="16"/>
    <s v="126 - Tecnologia da informação"/>
    <x v="1368"/>
    <n v="2830729.14"/>
    <n v="3290525.7"/>
    <n v="347011.75"/>
  </r>
  <r>
    <x v="5"/>
    <x v="19"/>
    <s v="244 - Assistência comunitária"/>
    <x v="0"/>
    <n v="0"/>
    <n v="0"/>
    <n v="423997550.5"/>
  </r>
  <r>
    <x v="5"/>
    <x v="0"/>
    <s v="122 - Administração geral"/>
    <x v="1369"/>
    <n v="108820797.84999999"/>
    <n v="92793613.469999999"/>
    <n v="5605569.4699999997"/>
  </r>
  <r>
    <x v="5"/>
    <x v="16"/>
    <s v="127 - Ordenamento territorial"/>
    <x v="1370"/>
    <n v="89693.62"/>
    <n v="93183.29"/>
    <n v="305986.71999999997"/>
  </r>
  <r>
    <x v="5"/>
    <x v="4"/>
    <s v="122 - Administração geral"/>
    <x v="1371"/>
    <n v="70058666.450000003"/>
    <n v="55599459.969999999"/>
    <n v="270304.48"/>
  </r>
  <r>
    <x v="5"/>
    <x v="0"/>
    <s v="367 - Educação especial"/>
    <x v="1372"/>
    <n v="2806182.54"/>
    <n v="3022548.66"/>
    <n v="524827.66"/>
  </r>
  <r>
    <x v="5"/>
    <x v="5"/>
    <s v="605 - Abastecimento"/>
    <x v="1373"/>
    <n v="367851206.10000002"/>
    <n v="369623275.11000001"/>
    <n v="2694127.1"/>
  </r>
  <r>
    <x v="5"/>
    <x v="20"/>
    <s v="212 - Cooperação internacional"/>
    <x v="1374"/>
    <n v="711771.16"/>
    <n v="781408.26"/>
    <n v="407518.68"/>
  </r>
  <r>
    <x v="5"/>
    <x v="3"/>
    <s v="331 - Proteção e benefícios ao trabalhador"/>
    <x v="1375"/>
    <n v="8597278.8100000005"/>
    <n v="8538864.1699999999"/>
    <n v="0"/>
  </r>
  <r>
    <x v="5"/>
    <x v="23"/>
    <s v="541 - Preservação e conservação ambiental"/>
    <x v="1376"/>
    <n v="18842039.260000002"/>
    <n v="16141760.039999999"/>
    <n v="6458907.8499999996"/>
  </r>
  <r>
    <x v="5"/>
    <x v="22"/>
    <s v="125 - Normatização e fiscalização"/>
    <x v="1377"/>
    <n v="3036438"/>
    <n v="3041704.68"/>
    <n v="2189223.5699999998"/>
  </r>
  <r>
    <x v="5"/>
    <x v="11"/>
    <s v="846 - Outros encargos especiais"/>
    <x v="1378"/>
    <n v="5415121820.1099997"/>
    <n v="5380419310.5299997"/>
    <n v="149887008.36000001"/>
  </r>
  <r>
    <x v="5"/>
    <x v="16"/>
    <s v="182 - Defesa civil"/>
    <x v="1379"/>
    <n v="979605.45"/>
    <n v="1028805.3"/>
    <n v="0"/>
  </r>
  <r>
    <x v="5"/>
    <x v="12"/>
    <s v="301 - Atenção básica"/>
    <x v="0"/>
    <n v="0"/>
    <n v="0"/>
    <n v="2051029.71"/>
  </r>
  <r>
    <x v="5"/>
    <x v="3"/>
    <s v="573 - Difusão do conhecimento científico e tecnológico"/>
    <x v="1380"/>
    <n v="2036722.48"/>
    <n v="2094910.07"/>
    <n v="3303986.78"/>
  </r>
  <r>
    <x v="5"/>
    <x v="12"/>
    <s v="364 - Ensino superior"/>
    <x v="1381"/>
    <n v="576028.68999999994"/>
    <n v="600190.44999999995"/>
    <n v="0"/>
  </r>
  <r>
    <x v="5"/>
    <x v="12"/>
    <s v="125 - Normatização e fiscalização"/>
    <x v="1382"/>
    <n v="22571159.859999999"/>
    <n v="26771188.739999998"/>
    <n v="22600607.57"/>
  </r>
  <r>
    <x v="5"/>
    <x v="5"/>
    <s v="572 - Desenvolvimento tecnológico e engenharia"/>
    <x v="1383"/>
    <n v="13705399.939999999"/>
    <n v="11845383.27"/>
    <n v="11330080.32"/>
  </r>
  <r>
    <x v="5"/>
    <x v="0"/>
    <s v="365 - Educação infantil"/>
    <x v="1384"/>
    <n v="28969200.609999999"/>
    <n v="28969200.609999999"/>
    <n v="3609308.13"/>
  </r>
  <r>
    <x v="5"/>
    <x v="7"/>
    <s v="305 - Vigilância epidemiológica"/>
    <x v="1385"/>
    <n v="496837926.63"/>
    <n v="434751743.91000003"/>
    <n v="109313622.34"/>
  </r>
  <r>
    <x v="5"/>
    <x v="9"/>
    <s v="092 - Representação judicial e extrajudicial"/>
    <x v="1386"/>
    <n v="33017685.07"/>
    <n v="32545586.850000001"/>
    <n v="545711.6"/>
  </r>
  <r>
    <x v="5"/>
    <x v="3"/>
    <s v="122 - Administração geral"/>
    <x v="1387"/>
    <n v="137251627.21000001"/>
    <n v="120895762.19"/>
    <n v="4717492.59"/>
  </r>
  <r>
    <x v="5"/>
    <x v="0"/>
    <s v="331 - Proteção e benefícios ao trabalhador"/>
    <x v="1388"/>
    <n v="303204750.60000002"/>
    <n v="302002379.14999998"/>
    <n v="0"/>
  </r>
  <r>
    <x v="5"/>
    <x v="0"/>
    <s v="694 - Serviços financeiros"/>
    <x v="0"/>
    <n v="445626991.58999997"/>
    <n v="437735657.63999999"/>
    <n v="677202.8"/>
  </r>
  <r>
    <x v="5"/>
    <x v="0"/>
    <s v="306 - Alimentação e nutrição"/>
    <x v="1389"/>
    <n v="550324662.70000005"/>
    <n v="550208133.14999998"/>
    <n v="2480304.61"/>
  </r>
  <r>
    <x v="5"/>
    <x v="23"/>
    <s v="544 - Recursos hídricos"/>
    <x v="1390"/>
    <n v="44818103.380000003"/>
    <n v="71685975.439999998"/>
    <n v="94315139.769999996"/>
  </r>
  <r>
    <x v="5"/>
    <x v="13"/>
    <s v="244 - Assistência comunitária"/>
    <x v="1391"/>
    <n v="15554726364.200001"/>
    <n v="15554271142.92"/>
    <n v="14248675.26"/>
  </r>
  <r>
    <x v="5"/>
    <x v="0"/>
    <s v="846 - Outros encargos especiais"/>
    <x v="1392"/>
    <n v="676413091.63"/>
    <n v="668362039.85000002"/>
    <n v="1101.75"/>
  </r>
  <r>
    <x v="5"/>
    <x v="3"/>
    <s v="571 - Desenvolvimento científico"/>
    <x v="1393"/>
    <n v="327110104.69"/>
    <n v="326322267.85000002"/>
    <n v="23867533.57"/>
  </r>
  <r>
    <x v="5"/>
    <x v="1"/>
    <s v="182 - Defesa civil"/>
    <x v="1394"/>
    <n v="48446373.140000001"/>
    <n v="45494524.039999999"/>
    <n v="11647488.699999999"/>
  </r>
  <r>
    <x v="5"/>
    <x v="2"/>
    <s v="331 - Proteção e benefícios ao trabalhador"/>
    <x v="1395"/>
    <n v="86275103.739999995"/>
    <n v="86310789.859999999"/>
    <n v="0"/>
  </r>
  <r>
    <x v="5"/>
    <x v="5"/>
    <s v="608 - Promoção da produção agropecuária"/>
    <x v="1396"/>
    <n v="430120340.25999999"/>
    <n v="374788127.25"/>
    <n v="241554900.56"/>
  </r>
  <r>
    <x v="5"/>
    <x v="18"/>
    <s v="125 - Normatização e fiscalização"/>
    <x v="1397"/>
    <n v="1940323.96"/>
    <n v="1943865.5"/>
    <n v="2240171.4700000002"/>
  </r>
  <r>
    <x v="5"/>
    <x v="5"/>
    <s v="545 - Meteorologia"/>
    <x v="1398"/>
    <n v="4510541.29"/>
    <n v="2027183"/>
    <n v="5522.45"/>
  </r>
  <r>
    <x v="5"/>
    <x v="20"/>
    <s v="151 - Defesa aérea"/>
    <x v="1399"/>
    <n v="365613914.75"/>
    <n v="393799813.61000001"/>
    <n v="296478507.23000002"/>
  </r>
  <r>
    <x v="5"/>
    <x v="3"/>
    <s v="572 - Desenvolvimento tecnológico e engenharia"/>
    <x v="1400"/>
    <n v="121765221.97"/>
    <n v="268541590.17000002"/>
    <n v="85474818.840000004"/>
  </r>
  <r>
    <x v="5"/>
    <x v="26"/>
    <s v="782 - Transporte rodoviário"/>
    <x v="1401"/>
    <n v="828404564.80999994"/>
    <n v="835264057.96000004"/>
    <n v="404020354.51999998"/>
  </r>
  <r>
    <x v="5"/>
    <x v="16"/>
    <s v="122 - Administração geral"/>
    <x v="1402"/>
    <n v="109775521.55"/>
    <n v="103501213.45"/>
    <n v="3818375.39"/>
  </r>
  <r>
    <x v="5"/>
    <x v="21"/>
    <s v="122 - Administração geral"/>
    <x v="1403"/>
    <n v="63187789.93"/>
    <n v="48837757.719999999"/>
    <n v="918782.91"/>
  </r>
  <r>
    <x v="5"/>
    <x v="10"/>
    <s v="271 - Previdência básica"/>
    <x v="1404"/>
    <n v="96259916200.809998"/>
    <n v="96036813997.990005"/>
    <n v="814925.77"/>
  </r>
  <r>
    <x v="5"/>
    <x v="20"/>
    <s v="363 - Ensino profissional"/>
    <x v="1405"/>
    <n v="3048349.05"/>
    <n v="2767523.11"/>
    <n v="1940172.91"/>
  </r>
  <r>
    <x v="5"/>
    <x v="23"/>
    <s v="122 - Administração geral"/>
    <x v="1406"/>
    <n v="125187103.72"/>
    <n v="83842510.719999999"/>
    <n v="1870158.83"/>
  </r>
  <r>
    <x v="5"/>
    <x v="16"/>
    <s v="544 - Recursos hídricos"/>
    <x v="1407"/>
    <n v="434338.75"/>
    <n v="448985.5"/>
    <n v="271562.96999999997"/>
  </r>
  <r>
    <x v="5"/>
    <x v="20"/>
    <s v="301 - Atenção básica"/>
    <x v="1408"/>
    <n v="1824674.96"/>
    <n v="176408.06"/>
    <n v="59824474.640000001"/>
  </r>
  <r>
    <x v="5"/>
    <x v="5"/>
    <s v="609 - Defesa agropecuária"/>
    <x v="1409"/>
    <n v="1155800.1200000001"/>
    <n v="1093889.76"/>
    <n v="1496385.11"/>
  </r>
  <r>
    <x v="5"/>
    <x v="26"/>
    <s v="122 - Administração geral"/>
    <x v="1410"/>
    <n v="179398138.56"/>
    <n v="152505792.97999999"/>
    <n v="12410343.810000001"/>
  </r>
  <r>
    <x v="5"/>
    <x v="12"/>
    <s v="121 - Planejamento e orçamento"/>
    <x v="1411"/>
    <n v="41782131.390000001"/>
    <n v="60524242.200000003"/>
    <n v="13039347.27"/>
  </r>
  <r>
    <x v="5"/>
    <x v="0"/>
    <s v="128 - Formação de recursos humanos"/>
    <x v="1412"/>
    <n v="2740528.72"/>
    <n v="3058388.33"/>
    <n v="1206826.77"/>
  </r>
  <r>
    <x v="5"/>
    <x v="2"/>
    <s v="392 - Difusão cultural"/>
    <x v="1413"/>
    <n v="3539230.86"/>
    <n v="3490010.77"/>
    <n v="224798.53"/>
  </r>
  <r>
    <x v="5"/>
    <x v="20"/>
    <s v="333 - Empregabilidade"/>
    <x v="1414"/>
    <n v="12079.88"/>
    <n v="11727.3"/>
    <n v="184311.05"/>
  </r>
  <r>
    <x v="5"/>
    <x v="16"/>
    <s v="331 - Proteção e benefícios ao trabalhador"/>
    <x v="1415"/>
    <n v="7635014.0800000001"/>
    <n v="6399030.0099999998"/>
    <n v="0"/>
  </r>
  <r>
    <x v="5"/>
    <x v="14"/>
    <s v="423 - Assistência aos povos indígenas"/>
    <x v="1416"/>
    <n v="1810752.66"/>
    <n v="1707979.27"/>
    <n v="736610.08"/>
  </r>
  <r>
    <x v="5"/>
    <x v="26"/>
    <s v="783 - Transporte ferroviário"/>
    <x v="1417"/>
    <n v="897463.96"/>
    <n v="908168.4"/>
    <n v="10126062.51"/>
  </r>
  <r>
    <x v="5"/>
    <x v="20"/>
    <s v="125 - Normatização e fiscalização"/>
    <x v="1418"/>
    <n v="11314571.689999999"/>
    <n v="10410682.52"/>
    <n v="3409050.87"/>
  </r>
  <r>
    <x v="5"/>
    <x v="14"/>
    <s v="122 - Administração geral"/>
    <x v="1419"/>
    <n v="40192186.130000003"/>
    <n v="33047104.469999999"/>
    <n v="964057.73"/>
  </r>
  <r>
    <x v="5"/>
    <x v="8"/>
    <s v="122 - Administração geral"/>
    <x v="1420"/>
    <n v="201600034.28"/>
    <n v="118113805.05"/>
    <n v="4249036.59"/>
  </r>
  <r>
    <x v="5"/>
    <x v="0"/>
    <s v="302 - Assistência hospitalar e ambulatorial"/>
    <x v="1421"/>
    <n v="1164685077.48"/>
    <n v="841784331.96000004"/>
    <n v="29248865.190000001"/>
  </r>
  <r>
    <x v="5"/>
    <x v="0"/>
    <s v="368 - Educação básica"/>
    <x v="1422"/>
    <n v="241257046.21000001"/>
    <n v="228770640.30000001"/>
    <n v="229008284.99000001"/>
  </r>
  <r>
    <x v="5"/>
    <x v="2"/>
    <s v="211 - Relações diplomáticas"/>
    <x v="1423"/>
    <n v="56411476.850000001"/>
    <n v="54637319.689999998"/>
    <n v="-666869.4"/>
  </r>
  <r>
    <x v="5"/>
    <x v="20"/>
    <s v="368 - Educação básica"/>
    <x v="1424"/>
    <n v="3147739.21"/>
    <n v="3036692.69"/>
    <n v="332814.34999999998"/>
  </r>
  <r>
    <x v="5"/>
    <x v="5"/>
    <s v="691 - Promoção comercial"/>
    <x v="1425"/>
    <n v="800128.11"/>
    <n v="834261.99"/>
    <n v="37155.11"/>
  </r>
  <r>
    <x v="5"/>
    <x v="7"/>
    <s v="301 - Atenção básica"/>
    <x v="1426"/>
    <n v="4010487488.52"/>
    <n v="4012102771.75"/>
    <n v="68465200.450000003"/>
  </r>
  <r>
    <x v="5"/>
    <x v="7"/>
    <s v="571 - Desenvolvimento científico"/>
    <x v="1427"/>
    <n v="82568518.980000004"/>
    <n v="68854939.709999993"/>
    <n v="21012078.66"/>
  </r>
  <r>
    <x v="5"/>
    <x v="16"/>
    <s v="663 - Mineração"/>
    <x v="1428"/>
    <n v="5213423.22"/>
    <n v="4872327.0999999996"/>
    <n v="134841.73000000001"/>
  </r>
  <r>
    <x v="5"/>
    <x v="1"/>
    <s v="122 - Administração geral"/>
    <x v="1429"/>
    <n v="750048672.5"/>
    <n v="640471273.25999999"/>
    <n v="6693541.6399999997"/>
  </r>
  <r>
    <x v="5"/>
    <x v="20"/>
    <s v="572 - Desenvolvimento tecnológico e engenharia"/>
    <x v="1430"/>
    <n v="36690382.600000001"/>
    <n v="17539033.440000001"/>
    <n v="5508357.2000000002"/>
  </r>
  <r>
    <x v="5"/>
    <x v="5"/>
    <s v="122 - Administração geral"/>
    <x v="1431"/>
    <n v="467244183.01999998"/>
    <n v="366568633.58999997"/>
    <n v="2654783.9500000002"/>
  </r>
  <r>
    <x v="5"/>
    <x v="22"/>
    <s v="331 - Proteção e benefícios ao trabalhador"/>
    <x v="1432"/>
    <n v="7964531142.2600002"/>
    <n v="7964433716.5699997"/>
    <n v="34313188"/>
  </r>
  <r>
    <x v="5"/>
    <x v="20"/>
    <s v="153 - Defesa terrestre"/>
    <x v="1433"/>
    <n v="90219561.189999998"/>
    <n v="77961286.590000004"/>
    <n v="129059946.23999999"/>
  </r>
  <r>
    <x v="5"/>
    <x v="0"/>
    <s v="363 - Ensino profissional"/>
    <x v="1434"/>
    <n v="1384241118.1600001"/>
    <n v="1065274364.6"/>
    <n v="68034469.579999998"/>
  </r>
  <r>
    <x v="5"/>
    <x v="22"/>
    <s v="122 - Administração geral"/>
    <x v="1435"/>
    <n v="230339033.06999999"/>
    <n v="181376710.37"/>
    <n v="286876.34000000003"/>
  </r>
  <r>
    <x v="5"/>
    <x v="8"/>
    <s v="331 - Proteção e benefícios ao trabalhador"/>
    <x v="1436"/>
    <n v="12602910.51"/>
    <n v="11388358.83"/>
    <n v="0"/>
  </r>
  <r>
    <x v="5"/>
    <x v="12"/>
    <s v="122 - Administração geral"/>
    <x v="1437"/>
    <n v="1968253713.78"/>
    <n v="1651021391.6400001"/>
    <n v="114021959.13"/>
  </r>
  <r>
    <x v="5"/>
    <x v="7"/>
    <s v="122 - Administração geral"/>
    <x v="1438"/>
    <n v="781679170.19000006"/>
    <n v="631339113.20000005"/>
    <n v="3620364.45"/>
  </r>
  <r>
    <x v="5"/>
    <x v="0"/>
    <s v="364 - Ensino superior"/>
    <x v="1439"/>
    <n v="3606102201.0500002"/>
    <n v="2779520499.0799999"/>
    <n v="147736575.25999999"/>
  </r>
  <r>
    <x v="5"/>
    <x v="20"/>
    <s v="128 - Formação de recursos humanos"/>
    <x v="1440"/>
    <n v="12619986.529999999"/>
    <n v="12525737.83"/>
    <n v="3100070.02"/>
  </r>
  <r>
    <x v="5"/>
    <x v="5"/>
    <s v="125 - Normatização e fiscalização"/>
    <x v="1441"/>
    <n v="9343563.6300000008"/>
    <n v="11091506.99"/>
    <n v="2448575.36"/>
  </r>
  <r>
    <x v="5"/>
    <x v="2"/>
    <s v="122 - Administração geral"/>
    <x v="1442"/>
    <n v="164273076.09999999"/>
    <n v="157594885.41"/>
    <n v="1572486.25"/>
  </r>
  <r>
    <x v="5"/>
    <x v="1"/>
    <s v="181 - Policiamento"/>
    <x v="1443"/>
    <n v="101205898.68000001"/>
    <n v="92934277.489999995"/>
    <n v="72471418.829999998"/>
  </r>
  <r>
    <x v="5"/>
    <x v="20"/>
    <s v="122 - Administração geral"/>
    <x v="1444"/>
    <n v="7077577051.6599998"/>
    <n v="5073546054.9899998"/>
    <n v="53775475.68"/>
  </r>
  <r>
    <x v="5"/>
    <x v="12"/>
    <s v="124 - Controle interno"/>
    <x v="1445"/>
    <n v="8249164.29"/>
    <n v="8761472.3200000003"/>
    <n v="886911.07"/>
  </r>
  <r>
    <x v="5"/>
    <x v="7"/>
    <s v="302 - Assistência hospitalar e ambulatorial"/>
    <x v="1446"/>
    <n v="7026799611.3999996"/>
    <n v="7067114607.75"/>
    <n v="183075437.31"/>
  </r>
  <r>
    <x v="5"/>
    <x v="20"/>
    <s v="331 - Proteção e benefícios ao trabalhador"/>
    <x v="1447"/>
    <n v="669592955.91999996"/>
    <n v="657076768.07000005"/>
    <n v="43284355.920000002"/>
  </r>
  <r>
    <x v="5"/>
    <x v="20"/>
    <s v="152 - Defesa naval"/>
    <x v="1448"/>
    <n v="105157932.68000001"/>
    <n v="125358459.14"/>
    <n v="70461206.260000005"/>
  </r>
  <r>
    <x v="6"/>
    <x v="9"/>
    <s v="032 - Controle externo"/>
    <x v="1449"/>
    <n v="0"/>
    <n v="0"/>
    <n v="5890"/>
  </r>
  <r>
    <x v="6"/>
    <x v="1"/>
    <s v="482 - Habitação urbana"/>
    <x v="1450"/>
    <n v="148390.84"/>
    <n v="148390.84"/>
    <n v="0"/>
  </r>
  <r>
    <x v="6"/>
    <x v="13"/>
    <s v="243 - Assistência à criança e ao adolescente"/>
    <x v="1451"/>
    <n v="34300665.259999998"/>
    <n v="34300665.259999998"/>
    <n v="0"/>
  </r>
  <r>
    <x v="6"/>
    <x v="7"/>
    <s v="422 - Direitos individuais, coletivos e difusos"/>
    <x v="0"/>
    <n v="0"/>
    <n v="0"/>
    <n v="-2000000"/>
  </r>
  <r>
    <x v="6"/>
    <x v="8"/>
    <s v="846 - Outros encargos especiais"/>
    <x v="0"/>
    <n v="6273291.8200000003"/>
    <n v="6273291.8200000003"/>
    <n v="0"/>
  </r>
  <r>
    <x v="6"/>
    <x v="27"/>
    <s v="122 - Administração geral"/>
    <x v="0"/>
    <n v="0"/>
    <n v="0"/>
    <n v="0"/>
  </r>
  <r>
    <x v="6"/>
    <x v="4"/>
    <s v="846 - Outros encargos especiais"/>
    <x v="0"/>
    <n v="4175381.68"/>
    <n v="4373628.13"/>
    <n v="0"/>
  </r>
  <r>
    <x v="6"/>
    <x v="26"/>
    <s v="846 - Outros encargos especiais"/>
    <x v="0"/>
    <n v="15628471.82"/>
    <n v="15640749.66"/>
    <n v="0"/>
  </r>
  <r>
    <x v="6"/>
    <x v="7"/>
    <s v="306 - Alimentação e nutrição"/>
    <x v="1452"/>
    <n v="38298.080000000002"/>
    <n v="1538298.08"/>
    <n v="195299"/>
  </r>
  <r>
    <x v="6"/>
    <x v="24"/>
    <s v="031 - Ação legislativa"/>
    <x v="0"/>
    <n v="0"/>
    <n v="4505.5"/>
    <n v="0"/>
  </r>
  <r>
    <x v="6"/>
    <x v="9"/>
    <s v="846 - Outros encargos especiais"/>
    <x v="0"/>
    <n v="26852176.219999999"/>
    <n v="26852176.219999999"/>
    <n v="61334.16"/>
  </r>
  <r>
    <x v="6"/>
    <x v="26"/>
    <s v="131 - Comunicação social"/>
    <x v="0"/>
    <n v="229940.45"/>
    <n v="229940.45"/>
    <n v="0"/>
  </r>
  <r>
    <x v="6"/>
    <x v="10"/>
    <s v="845 - Outras transferências"/>
    <x v="1453"/>
    <n v="133560369.48999999"/>
    <n v="189060414.88999999"/>
    <n v="0"/>
  </r>
  <r>
    <x v="6"/>
    <x v="14"/>
    <s v="243 - Assistência à criança e ao adolescente"/>
    <x v="0"/>
    <n v="0"/>
    <n v="0"/>
    <n v="5635"/>
  </r>
  <r>
    <x v="6"/>
    <x v="2"/>
    <s v="846 - Outros encargos especiais"/>
    <x v="1454"/>
    <n v="11747106.300000001"/>
    <n v="11747106.300000001"/>
    <n v="0"/>
  </r>
  <r>
    <x v="6"/>
    <x v="12"/>
    <s v="571 - Desenvolvimento científico"/>
    <x v="0"/>
    <n v="808302.59"/>
    <n v="808302.59"/>
    <n v="0"/>
  </r>
  <r>
    <x v="6"/>
    <x v="3"/>
    <s v="542 - Controle ambiental"/>
    <x v="1455"/>
    <n v="110502.81"/>
    <n v="110502.81"/>
    <n v="254800"/>
  </r>
  <r>
    <x v="6"/>
    <x v="2"/>
    <s v="301 - Atenção básica"/>
    <x v="0"/>
    <n v="0"/>
    <n v="0"/>
    <n v="0"/>
  </r>
  <r>
    <x v="6"/>
    <x v="13"/>
    <s v="126 - Tecnologia da informação"/>
    <x v="1456"/>
    <n v="3152368.69"/>
    <n v="3152368.69"/>
    <n v="0"/>
  </r>
  <r>
    <x v="6"/>
    <x v="14"/>
    <s v="241 - Assistência ao idoso"/>
    <x v="0"/>
    <n v="0"/>
    <n v="0"/>
    <n v="16194"/>
  </r>
  <r>
    <x v="6"/>
    <x v="4"/>
    <s v="753 - Combustíveis"/>
    <x v="0"/>
    <n v="20812.5"/>
    <n v="20812.5"/>
    <n v="0"/>
  </r>
  <r>
    <x v="6"/>
    <x v="12"/>
    <s v="608 - Promoção da produção agropecuária"/>
    <x v="0"/>
    <n v="0"/>
    <n v="0"/>
    <n v="250000"/>
  </r>
  <r>
    <x v="6"/>
    <x v="22"/>
    <s v="128 - Formação de recursos humanos"/>
    <x v="1457"/>
    <n v="1955.97"/>
    <n v="1955.97"/>
    <n v="0"/>
  </r>
  <r>
    <x v="6"/>
    <x v="7"/>
    <s v="131 - Comunicação social"/>
    <x v="1458"/>
    <n v="14008046.130000001"/>
    <n v="16942631.449999999"/>
    <n v="1162231.6599999999"/>
  </r>
  <r>
    <x v="6"/>
    <x v="21"/>
    <s v="691 - Promoção comercial"/>
    <x v="1459"/>
    <n v="200000000"/>
    <n v="237740302"/>
    <n v="12259698"/>
  </r>
  <r>
    <x v="6"/>
    <x v="4"/>
    <s v="130 - Administração de concessões"/>
    <x v="1460"/>
    <n v="2793303.27"/>
    <n v="2605051.88"/>
    <n v="37926.92"/>
  </r>
  <r>
    <x v="6"/>
    <x v="7"/>
    <s v="846 - Outros encargos especiais"/>
    <x v="1461"/>
    <n v="82422414.620000005"/>
    <n v="82422414.620000005"/>
    <n v="0"/>
  </r>
  <r>
    <x v="6"/>
    <x v="26"/>
    <s v="301 - Atenção básica"/>
    <x v="0"/>
    <n v="0"/>
    <n v="0"/>
    <n v="0"/>
  </r>
  <r>
    <x v="6"/>
    <x v="20"/>
    <s v="812 - Desporto comunitário"/>
    <x v="0"/>
    <n v="52994.76"/>
    <n v="79296.75"/>
    <n v="37960"/>
  </r>
  <r>
    <x v="6"/>
    <x v="3"/>
    <s v="131 - Comunicação social"/>
    <x v="0"/>
    <n v="8807.4"/>
    <n v="8807.4"/>
    <n v="0"/>
  </r>
  <r>
    <x v="6"/>
    <x v="3"/>
    <s v="541 - Preservação e conservação ambiental"/>
    <x v="0"/>
    <n v="38498.68"/>
    <n v="38498.68"/>
    <n v="53452"/>
  </r>
  <r>
    <x v="6"/>
    <x v="14"/>
    <s v="131 - Comunicação social"/>
    <x v="0"/>
    <n v="0"/>
    <n v="0"/>
    <n v="0"/>
  </r>
  <r>
    <x v="6"/>
    <x v="21"/>
    <s v="813 - Lazer"/>
    <x v="0"/>
    <n v="0"/>
    <n v="0"/>
    <n v="18180"/>
  </r>
  <r>
    <x v="6"/>
    <x v="18"/>
    <s v="846 - Outros encargos especiais"/>
    <x v="0"/>
    <n v="4214597.0199999996"/>
    <n v="4214597.0199999996"/>
    <n v="0"/>
  </r>
  <r>
    <x v="6"/>
    <x v="2"/>
    <s v="128 - Formação de recursos humanos"/>
    <x v="1462"/>
    <n v="141299.46"/>
    <n v="544082.61"/>
    <n v="0"/>
  </r>
  <r>
    <x v="6"/>
    <x v="11"/>
    <s v="844 - Serviço da dívida externa"/>
    <x v="1463"/>
    <n v="3213045537.5100002"/>
    <n v="3213045537.5100002"/>
    <n v="0"/>
  </r>
  <r>
    <x v="6"/>
    <x v="5"/>
    <s v="541 - Preservação e conservação ambiental"/>
    <x v="0"/>
    <n v="0"/>
    <n v="0"/>
    <n v="1800"/>
  </r>
  <r>
    <x v="6"/>
    <x v="9"/>
    <s v="062 - Defesa do interesse público no processo judiciário"/>
    <x v="1464"/>
    <n v="143054.84"/>
    <n v="136185.09"/>
    <n v="0"/>
  </r>
  <r>
    <x v="6"/>
    <x v="16"/>
    <s v="664 - Propriedade industrial"/>
    <x v="1465"/>
    <n v="1285502.79"/>
    <n v="1414435.06"/>
    <n v="0"/>
  </r>
  <r>
    <x v="6"/>
    <x v="5"/>
    <s v="606 - Extensão rural"/>
    <x v="0"/>
    <n v="0"/>
    <n v="0"/>
    <n v="4766194.4800000004"/>
  </r>
  <r>
    <x v="6"/>
    <x v="8"/>
    <s v="244 - Assistência comunitária"/>
    <x v="0"/>
    <n v="156013547"/>
    <n v="156013547"/>
    <n v="0"/>
  </r>
  <r>
    <x v="6"/>
    <x v="10"/>
    <s v="301 - Atenção básica"/>
    <x v="0"/>
    <n v="0"/>
    <n v="0"/>
    <n v="508.55"/>
  </r>
  <r>
    <x v="6"/>
    <x v="2"/>
    <s v="573 - Difusão do conhecimento científico e tecnológico"/>
    <x v="1466"/>
    <n v="492269.43"/>
    <n v="492664.64"/>
    <n v="0"/>
  </r>
  <r>
    <x v="6"/>
    <x v="20"/>
    <s v="573 - Difusão do conhecimento científico e tecnológico"/>
    <x v="1467"/>
    <n v="32361.99"/>
    <n v="17700.53"/>
    <n v="12747.43"/>
  </r>
  <r>
    <x v="6"/>
    <x v="22"/>
    <s v="332 - Relações de trabalho"/>
    <x v="1468"/>
    <n v="0"/>
    <n v="0"/>
    <n v="0"/>
  </r>
  <r>
    <x v="6"/>
    <x v="18"/>
    <s v="131 - Comunicação social"/>
    <x v="0"/>
    <n v="1475584.71"/>
    <n v="0"/>
    <n v="316141.21999999997"/>
  </r>
  <r>
    <x v="6"/>
    <x v="0"/>
    <s v="571 - Desenvolvimento científico"/>
    <x v="1469"/>
    <n v="0"/>
    <n v="0"/>
    <n v="0"/>
  </r>
  <r>
    <x v="6"/>
    <x v="1"/>
    <s v="846 - Outros encargos especiais"/>
    <x v="0"/>
    <n v="114238130.56999999"/>
    <n v="114238130.56999999"/>
    <n v="6627.04"/>
  </r>
  <r>
    <x v="6"/>
    <x v="22"/>
    <s v="571 - Desenvolvimento científico"/>
    <x v="1470"/>
    <n v="33841.51"/>
    <n v="10771.65"/>
    <n v="70405.72"/>
  </r>
  <r>
    <x v="6"/>
    <x v="23"/>
    <s v="846 - Outros encargos especiais"/>
    <x v="1471"/>
    <n v="14818294.039999999"/>
    <n v="14817297.779999999"/>
    <n v="0"/>
  </r>
  <r>
    <x v="6"/>
    <x v="16"/>
    <s v="301 - Atenção básica"/>
    <x v="0"/>
    <n v="0"/>
    <n v="0"/>
    <n v="10562.44"/>
  </r>
  <r>
    <x v="6"/>
    <x v="8"/>
    <s v="606 - Extensão rural"/>
    <x v="1472"/>
    <n v="96246651.989999995"/>
    <n v="96265041.829999998"/>
    <n v="0"/>
  </r>
  <r>
    <x v="6"/>
    <x v="22"/>
    <s v="126 - Tecnologia da informação"/>
    <x v="1473"/>
    <n v="0"/>
    <n v="0"/>
    <n v="2712.53"/>
  </r>
  <r>
    <x v="6"/>
    <x v="12"/>
    <s v="662 - Produção industrial"/>
    <x v="1474"/>
    <n v="3053267.61"/>
    <n v="3087991.76"/>
    <n v="425777"/>
  </r>
  <r>
    <x v="6"/>
    <x v="19"/>
    <s v="131 - Comunicação social"/>
    <x v="0"/>
    <n v="0"/>
    <n v="0"/>
    <n v="5973.26"/>
  </r>
  <r>
    <x v="6"/>
    <x v="23"/>
    <s v="573 - Difusão do conhecimento científico e tecnológico"/>
    <x v="1475"/>
    <n v="92036.4"/>
    <n v="88570.71"/>
    <n v="417686.35"/>
  </r>
  <r>
    <x v="6"/>
    <x v="26"/>
    <s v="128 - Formação de recursos humanos"/>
    <x v="0"/>
    <n v="53518.75"/>
    <n v="53518.75"/>
    <n v="20107.560000000001"/>
  </r>
  <r>
    <x v="6"/>
    <x v="3"/>
    <s v="691 - Promoção comercial"/>
    <x v="1476"/>
    <n v="0"/>
    <n v="0"/>
    <n v="4651667.97"/>
  </r>
  <r>
    <x v="6"/>
    <x v="1"/>
    <s v="301 - Atenção básica"/>
    <x v="0"/>
    <n v="0"/>
    <n v="0"/>
    <n v="0"/>
  </r>
  <r>
    <x v="6"/>
    <x v="7"/>
    <s v="391 - Patrimônio histórico, artístico e arqueológico"/>
    <x v="1477"/>
    <n v="2259094.88"/>
    <n v="1933497.45"/>
    <n v="302730.99"/>
  </r>
  <r>
    <x v="6"/>
    <x v="3"/>
    <s v="128 - Formação de recursos humanos"/>
    <x v="1478"/>
    <n v="377667"/>
    <n v="377667"/>
    <n v="0"/>
  </r>
  <r>
    <x v="6"/>
    <x v="9"/>
    <s v="122 - Administração geral"/>
    <x v="1479"/>
    <n v="243401.86"/>
    <n v="252374.26"/>
    <n v="0"/>
  </r>
  <r>
    <x v="6"/>
    <x v="18"/>
    <s v="301 - Atenção básica"/>
    <x v="0"/>
    <n v="0"/>
    <n v="0"/>
    <n v="0"/>
  </r>
  <r>
    <x v="6"/>
    <x v="12"/>
    <s v="131 - Comunicação social"/>
    <x v="1480"/>
    <n v="6441282.5800000001"/>
    <n v="2498213.9500000002"/>
    <n v="1202116.42"/>
  </r>
  <r>
    <x v="6"/>
    <x v="16"/>
    <s v="571 - Desenvolvimento científico"/>
    <x v="1481"/>
    <n v="0"/>
    <n v="0"/>
    <n v="0"/>
  </r>
  <r>
    <x v="6"/>
    <x v="5"/>
    <s v="363 - Ensino profissional"/>
    <x v="0"/>
    <n v="0"/>
    <n v="0"/>
    <n v="19961.740000000002"/>
  </r>
  <r>
    <x v="6"/>
    <x v="10"/>
    <s v="092 - Representação judicial e extrajudicial"/>
    <x v="957"/>
    <n v="5494974.04"/>
    <n v="5512316"/>
    <n v="0"/>
  </r>
  <r>
    <x v="6"/>
    <x v="11"/>
    <s v="841 - Refinanciamento da dívida interna"/>
    <x v="1482"/>
    <n v="257831729445.54999"/>
    <n v="257831729445.54999"/>
    <n v="0"/>
  </r>
  <r>
    <x v="6"/>
    <x v="12"/>
    <s v="422 - Direitos individuais, coletivos e difusos"/>
    <x v="2"/>
    <n v="1839023.18"/>
    <n v="1827609.15"/>
    <n v="0"/>
  </r>
  <r>
    <x v="6"/>
    <x v="19"/>
    <s v="128 - Formação de recursos humanos"/>
    <x v="1483"/>
    <n v="96374.9"/>
    <n v="107550.21"/>
    <n v="4500"/>
  </r>
  <r>
    <x v="6"/>
    <x v="10"/>
    <s v="128 - Formação de recursos humanos"/>
    <x v="1484"/>
    <n v="10072.82"/>
    <n v="18076"/>
    <n v="0"/>
  </r>
  <r>
    <x v="6"/>
    <x v="3"/>
    <s v="121 - Planejamento e orçamento"/>
    <x v="1485"/>
    <n v="0"/>
    <n v="347000"/>
    <n v="9198"/>
  </r>
  <r>
    <x v="6"/>
    <x v="12"/>
    <s v="573 - Difusão do conhecimento científico e tecnológico"/>
    <x v="1486"/>
    <n v="157827.07"/>
    <n v="157827.07"/>
    <n v="15834.32"/>
  </r>
  <r>
    <x v="6"/>
    <x v="13"/>
    <s v="242 - Assistência ao portador de deficiência"/>
    <x v="1487"/>
    <n v="4185555407.9000001"/>
    <n v="4215314834.5100002"/>
    <n v="0"/>
  </r>
  <r>
    <x v="6"/>
    <x v="0"/>
    <s v="694 - Serviços financeiros"/>
    <x v="0"/>
    <n v="461524897.94999999"/>
    <n v="469279636.41000003"/>
    <n v="33191.360000000001"/>
  </r>
  <r>
    <x v="6"/>
    <x v="4"/>
    <s v="665 - Normalização e qualidade"/>
    <x v="1488"/>
    <n v="1476386.21"/>
    <n v="1487138.69"/>
    <n v="0"/>
  </r>
  <r>
    <x v="6"/>
    <x v="24"/>
    <s v="032 - Controle externo"/>
    <x v="1489"/>
    <n v="85197.41"/>
    <n v="88038.04"/>
    <n v="0"/>
  </r>
  <r>
    <x v="6"/>
    <x v="4"/>
    <s v="128 - Formação de recursos humanos"/>
    <x v="1490"/>
    <n v="404697.48"/>
    <n v="377982.06"/>
    <n v="0"/>
  </r>
  <r>
    <x v="6"/>
    <x v="23"/>
    <s v="695 - Turismo"/>
    <x v="0"/>
    <n v="0"/>
    <n v="0"/>
    <n v="81948.56"/>
  </r>
  <r>
    <x v="6"/>
    <x v="16"/>
    <s v="665 - Normalização e qualidade"/>
    <x v="1491"/>
    <n v="581198.87"/>
    <n v="542082.97"/>
    <n v="0"/>
  </r>
  <r>
    <x v="6"/>
    <x v="19"/>
    <s v="665 - Normalização e qualidade"/>
    <x v="0"/>
    <n v="0"/>
    <n v="0"/>
    <n v="98632"/>
  </r>
  <r>
    <x v="6"/>
    <x v="13"/>
    <s v="511 - Saneamento básico rural"/>
    <x v="1492"/>
    <n v="0"/>
    <n v="0"/>
    <n v="1677"/>
  </r>
  <r>
    <x v="6"/>
    <x v="7"/>
    <s v="512 - Saneamento básico urbano"/>
    <x v="1493"/>
    <n v="0"/>
    <n v="0"/>
    <n v="0"/>
  </r>
  <r>
    <x v="6"/>
    <x v="3"/>
    <s v="846 - Outros encargos especiais"/>
    <x v="1494"/>
    <n v="15024817.23"/>
    <n v="15020559.25"/>
    <n v="0"/>
  </r>
  <r>
    <x v="6"/>
    <x v="3"/>
    <s v="212 - Cooperação internacional"/>
    <x v="1495"/>
    <n v="1750.12"/>
    <n v="1750.12"/>
    <n v="12216.59"/>
  </r>
  <r>
    <x v="6"/>
    <x v="23"/>
    <s v="571 - Desenvolvimento científico"/>
    <x v="1496"/>
    <n v="183574.16"/>
    <n v="236300.99"/>
    <n v="50850"/>
  </r>
  <r>
    <x v="6"/>
    <x v="18"/>
    <s v="422 - Direitos individuais, coletivos e difusos"/>
    <x v="1497"/>
    <n v="582682.99"/>
    <n v="580789.65"/>
    <n v="0"/>
  </r>
  <r>
    <x v="6"/>
    <x v="20"/>
    <s v="846 - Outros encargos especiais"/>
    <x v="1498"/>
    <n v="20269321.82"/>
    <n v="20269321.82"/>
    <n v="0"/>
  </r>
  <r>
    <x v="6"/>
    <x v="5"/>
    <s v="545 - Meteorologia"/>
    <x v="1499"/>
    <n v="2045088.22"/>
    <n v="1637684.57"/>
    <n v="7316.95"/>
  </r>
  <r>
    <x v="6"/>
    <x v="5"/>
    <s v="301 - Atenção básica"/>
    <x v="0"/>
    <n v="0"/>
    <n v="0"/>
    <n v="7936127.8099999996"/>
  </r>
  <r>
    <x v="6"/>
    <x v="23"/>
    <s v="128 - Formação de recursos humanos"/>
    <x v="1500"/>
    <n v="123487.93"/>
    <n v="112746.72"/>
    <n v="0"/>
  </r>
  <r>
    <x v="6"/>
    <x v="4"/>
    <s v="121 - Planejamento e orçamento"/>
    <x v="1501"/>
    <n v="104441.44"/>
    <n v="108326"/>
    <n v="0"/>
  </r>
  <r>
    <x v="6"/>
    <x v="16"/>
    <s v="846 - Outros encargos especiais"/>
    <x v="1502"/>
    <n v="8770036.8300000001"/>
    <n v="8771699.0399999991"/>
    <n v="0"/>
  </r>
  <r>
    <x v="6"/>
    <x v="10"/>
    <s v="124 - Controle interno"/>
    <x v="1503"/>
    <n v="368938.97"/>
    <n v="377704.55"/>
    <n v="0"/>
  </r>
  <r>
    <x v="6"/>
    <x v="6"/>
    <s v="691 - Promoção comercial"/>
    <x v="0"/>
    <n v="0"/>
    <n v="0"/>
    <n v="452.19"/>
  </r>
  <r>
    <x v="6"/>
    <x v="10"/>
    <s v="665 - Normalização e qualidade"/>
    <x v="0"/>
    <n v="0"/>
    <n v="0"/>
    <n v="0"/>
  </r>
  <r>
    <x v="6"/>
    <x v="26"/>
    <s v="126 - Tecnologia da informação"/>
    <x v="1504"/>
    <n v="18487093.710000001"/>
    <n v="19963910.030000001"/>
    <n v="1683018.87"/>
  </r>
  <r>
    <x v="6"/>
    <x v="22"/>
    <s v="333 - Empregabilidade"/>
    <x v="1505"/>
    <n v="32706.47"/>
    <n v="32706.47"/>
    <n v="545831.05000000005"/>
  </r>
  <r>
    <x v="6"/>
    <x v="7"/>
    <s v="121 - Planejamento e orçamento"/>
    <x v="1506"/>
    <n v="1755565.11"/>
    <n v="10522023.710000001"/>
    <n v="2460332.75"/>
  </r>
  <r>
    <x v="6"/>
    <x v="6"/>
    <s v="122 - Administração geral"/>
    <x v="1507"/>
    <n v="-2410381.2400000002"/>
    <n v="-2410381.2400000002"/>
    <n v="1720381.85"/>
  </r>
  <r>
    <x v="6"/>
    <x v="20"/>
    <s v="131 - Comunicação social"/>
    <x v="1508"/>
    <n v="348814.96"/>
    <n v="276644.53999999998"/>
    <n v="19659.63"/>
  </r>
  <r>
    <x v="6"/>
    <x v="12"/>
    <s v="211 - Relações diplomáticas"/>
    <x v="1509"/>
    <n v="69493.86"/>
    <n v="69493.86"/>
    <n v="0"/>
  </r>
  <r>
    <x v="6"/>
    <x v="20"/>
    <s v="183 - Informação e inteligência"/>
    <x v="1510"/>
    <n v="468929.47"/>
    <n v="351538.55"/>
    <n v="140903.53"/>
  </r>
  <r>
    <x v="6"/>
    <x v="4"/>
    <s v="752 - Energia elétrica"/>
    <x v="1511"/>
    <n v="1596840.97"/>
    <n v="1605854.83"/>
    <n v="0"/>
  </r>
  <r>
    <x v="6"/>
    <x v="19"/>
    <s v="301 - Atenção básica"/>
    <x v="0"/>
    <n v="0"/>
    <n v="0"/>
    <n v="44438.09"/>
  </r>
  <r>
    <x v="6"/>
    <x v="11"/>
    <s v="843 - Serviço da dívida interna"/>
    <x v="1512"/>
    <n v="48452834203.620003"/>
    <n v="48454325753.889999"/>
    <n v="0"/>
  </r>
  <r>
    <x v="6"/>
    <x v="26"/>
    <s v="130 - Administração de concessões"/>
    <x v="1513"/>
    <n v="42016.62"/>
    <n v="42016.62"/>
    <n v="0"/>
  </r>
  <r>
    <x v="6"/>
    <x v="10"/>
    <s v="126 - Tecnologia da informação"/>
    <x v="1514"/>
    <n v="33419585.109999999"/>
    <n v="35950511.710000001"/>
    <n v="7356936.3099999996"/>
  </r>
  <r>
    <x v="6"/>
    <x v="20"/>
    <s v="811 - Desporto de rendimento"/>
    <x v="1515"/>
    <n v="341595.89"/>
    <n v="471955.81"/>
    <n v="34793.339999999997"/>
  </r>
  <r>
    <x v="6"/>
    <x v="15"/>
    <s v="032 - Controle externo"/>
    <x v="0"/>
    <n v="149520.04"/>
    <n v="0"/>
    <n v="3100"/>
  </r>
  <r>
    <x v="6"/>
    <x v="21"/>
    <s v="128 - Formação de recursos humanos"/>
    <x v="1516"/>
    <n v="80860.87"/>
    <n v="70300.38"/>
    <n v="41625.839999999997"/>
  </r>
  <r>
    <x v="6"/>
    <x v="12"/>
    <s v="391 - Patrimônio histórico, artístico e arqueológico"/>
    <x v="1517"/>
    <n v="1822800.67"/>
    <n v="2087888.68"/>
    <n v="71835.33"/>
  </r>
  <r>
    <x v="6"/>
    <x v="17"/>
    <s v="451 - infra-estrutura urbana"/>
    <x v="0"/>
    <n v="0"/>
    <n v="0"/>
    <n v="745148.83"/>
  </r>
  <r>
    <x v="6"/>
    <x v="19"/>
    <s v="846 - Outros encargos especiais"/>
    <x v="0"/>
    <n v="665111.18000000005"/>
    <n v="563696.66"/>
    <n v="0"/>
  </r>
  <r>
    <x v="6"/>
    <x v="18"/>
    <s v="331 - Proteção e benefícios ao trabalhador"/>
    <x v="1518"/>
    <n v="2582577.5"/>
    <n v="2883189.47"/>
    <n v="0"/>
  </r>
  <r>
    <x v="6"/>
    <x v="3"/>
    <s v="573 - Difusão do conhecimento científico e tecnológico"/>
    <x v="1519"/>
    <n v="1678653.27"/>
    <n v="1676668.47"/>
    <n v="1757364.42"/>
  </r>
  <r>
    <x v="6"/>
    <x v="14"/>
    <s v="846 - Outros encargos especiais"/>
    <x v="1520"/>
    <n v="6800110.21"/>
    <n v="7670817.0999999996"/>
    <n v="0"/>
  </r>
  <r>
    <x v="6"/>
    <x v="3"/>
    <s v="301 - Atenção básica"/>
    <x v="0"/>
    <n v="0"/>
    <n v="0"/>
    <n v="48921.279999999999"/>
  </r>
  <r>
    <x v="6"/>
    <x v="12"/>
    <s v="123 - Administração financeira"/>
    <x v="1521"/>
    <n v="1021403.52"/>
    <n v="1018708.96"/>
    <n v="12118.97"/>
  </r>
  <r>
    <x v="6"/>
    <x v="16"/>
    <s v="661 - Promoção industrial"/>
    <x v="1522"/>
    <n v="7998.38"/>
    <n v="29922.17"/>
    <n v="156081.25"/>
  </r>
  <r>
    <x v="6"/>
    <x v="7"/>
    <s v="304 - Vigilância sanitária"/>
    <x v="1523"/>
    <n v="5434228.3300000001"/>
    <n v="6157636.1100000003"/>
    <n v="530389.82999999996"/>
  </r>
  <r>
    <x v="6"/>
    <x v="1"/>
    <s v="422 - Direitos individuais, coletivos e difusos"/>
    <x v="0"/>
    <n v="635249.48"/>
    <n v="635249.48"/>
    <n v="47214.26"/>
  </r>
  <r>
    <x v="6"/>
    <x v="13"/>
    <s v="125 - Normatização e fiscalização"/>
    <x v="1524"/>
    <n v="252983.34"/>
    <n v="270080.65999999997"/>
    <n v="0"/>
  </r>
  <r>
    <x v="6"/>
    <x v="22"/>
    <s v="846 - Outros encargos especiais"/>
    <x v="0"/>
    <n v="60239800.719999999"/>
    <n v="60238314.049999997"/>
    <n v="0"/>
  </r>
  <r>
    <x v="6"/>
    <x v="11"/>
    <s v="847 - Transferências para a educação básica"/>
    <x v="0"/>
    <n v="5870955913.7299995"/>
    <n v="5870955913.7299995"/>
    <n v="0"/>
  </r>
  <r>
    <x v="6"/>
    <x v="7"/>
    <s v="124 - Controle interno"/>
    <x v="1525"/>
    <n v="3531295.49"/>
    <n v="30936.39"/>
    <n v="0"/>
  </r>
  <r>
    <x v="6"/>
    <x v="0"/>
    <s v="573 - Difusão do conhecimento científico e tecnológico"/>
    <x v="1526"/>
    <n v="106686828.70999999"/>
    <n v="106673420.68000001"/>
    <n v="558396.32999999996"/>
  </r>
  <r>
    <x v="6"/>
    <x v="16"/>
    <s v="126 - Tecnologia da informação"/>
    <x v="1527"/>
    <n v="1048183.51"/>
    <n v="1604583.22"/>
    <n v="94533.89"/>
  </r>
  <r>
    <x v="6"/>
    <x v="0"/>
    <s v="847 - Transferências para a educação básica"/>
    <x v="1528"/>
    <n v="2917833493.4200001"/>
    <n v="2917833493.4200001"/>
    <n v="61151773.520000003"/>
  </r>
  <r>
    <x v="6"/>
    <x v="26"/>
    <s v="781 - Transporte aéreo"/>
    <x v="1529"/>
    <n v="1618699.66"/>
    <n v="714915"/>
    <n v="1642330.24"/>
  </r>
  <r>
    <x v="6"/>
    <x v="16"/>
    <s v="125 - Normatização e fiscalização"/>
    <x v="1530"/>
    <n v="33453134.100000001"/>
    <n v="33493294.59"/>
    <n v="0"/>
  </r>
  <r>
    <x v="6"/>
    <x v="19"/>
    <s v="122 - Administração geral"/>
    <x v="1531"/>
    <n v="54952863.840000004"/>
    <n v="66450281.740000002"/>
    <n v="70500.88"/>
  </r>
  <r>
    <x v="6"/>
    <x v="2"/>
    <s v="212 - Cooperação internacional"/>
    <x v="1532"/>
    <n v="1274063.7"/>
    <n v="1274063.7"/>
    <n v="-288.73"/>
  </r>
  <r>
    <x v="6"/>
    <x v="7"/>
    <s v="541 - Preservação e conservação ambiental"/>
    <x v="1533"/>
    <n v="0"/>
    <n v="0"/>
    <n v="8989.7999999999993"/>
  </r>
  <r>
    <x v="6"/>
    <x v="5"/>
    <s v="846 - Outros encargos especiais"/>
    <x v="1534"/>
    <n v="15696192.98"/>
    <n v="15606188.779999999"/>
    <n v="27688.3"/>
  </r>
  <r>
    <x v="6"/>
    <x v="8"/>
    <s v="363 - Ensino profissional"/>
    <x v="1535"/>
    <n v="267341.75"/>
    <n v="350446.02"/>
    <n v="430167.44"/>
  </r>
  <r>
    <x v="6"/>
    <x v="3"/>
    <s v="662 - Produção industrial"/>
    <x v="1536"/>
    <n v="19172100.719999999"/>
    <n v="15035999.02"/>
    <n v="1531567.93"/>
  </r>
  <r>
    <x v="6"/>
    <x v="5"/>
    <s v="573 - Difusão do conhecimento científico e tecnológico"/>
    <x v="1537"/>
    <n v="1026209.85"/>
    <n v="1062209.33"/>
    <n v="85152.55"/>
  </r>
  <r>
    <x v="6"/>
    <x v="5"/>
    <s v="127 - Ordenamento territorial"/>
    <x v="0"/>
    <n v="0"/>
    <n v="0"/>
    <n v="212445.51"/>
  </r>
  <r>
    <x v="6"/>
    <x v="0"/>
    <s v="123 - Administração financeira"/>
    <x v="0"/>
    <n v="2091294.72"/>
    <n v="2091294.72"/>
    <n v="0"/>
  </r>
  <r>
    <x v="6"/>
    <x v="7"/>
    <s v="573 - Difusão do conhecimento científico e tecnológico"/>
    <x v="1538"/>
    <n v="6401245.3300000001"/>
    <n v="5945555.9400000004"/>
    <n v="1276096.67"/>
  </r>
  <r>
    <x v="6"/>
    <x v="21"/>
    <s v="846 - Outros encargos especiais"/>
    <x v="1539"/>
    <n v="5023069.51"/>
    <n v="5017782.88"/>
    <n v="0"/>
  </r>
  <r>
    <x v="6"/>
    <x v="14"/>
    <s v="421 - Custódia e reintegração social"/>
    <x v="0"/>
    <n v="0"/>
    <n v="0"/>
    <n v="751500"/>
  </r>
  <r>
    <x v="6"/>
    <x v="13"/>
    <s v="241 - Assistência ao idoso"/>
    <x v="1540"/>
    <n v="3378232323.1399999"/>
    <n v="3373976463.1300001"/>
    <n v="0"/>
  </r>
  <r>
    <x v="6"/>
    <x v="7"/>
    <s v="126 - Tecnologia da informação"/>
    <x v="1541"/>
    <n v="19654415.109999999"/>
    <n v="17458325.16"/>
    <n v="2896249.77"/>
  </r>
  <r>
    <x v="6"/>
    <x v="17"/>
    <s v="482 - Habitação urbana"/>
    <x v="0"/>
    <n v="0"/>
    <n v="0"/>
    <n v="481104"/>
  </r>
  <r>
    <x v="6"/>
    <x v="7"/>
    <s v="125 - Normatização e fiscalização"/>
    <x v="1542"/>
    <n v="1389400.1"/>
    <n v="1125561.44"/>
    <n v="11868.47"/>
  </r>
  <r>
    <x v="6"/>
    <x v="15"/>
    <s v="061 - Ação judiciária"/>
    <x v="1543"/>
    <n v="213602.14"/>
    <n v="125776.51"/>
    <n v="15272.97"/>
  </r>
  <r>
    <x v="6"/>
    <x v="12"/>
    <s v="364 - Ensino superior"/>
    <x v="1544"/>
    <n v="51093.9"/>
    <n v="49505.65"/>
    <n v="0"/>
  </r>
  <r>
    <x v="6"/>
    <x v="20"/>
    <s v="364 - Ensino superior"/>
    <x v="1545"/>
    <n v="1097601.21"/>
    <n v="811727.57"/>
    <n v="693535.7"/>
  </r>
  <r>
    <x v="6"/>
    <x v="20"/>
    <s v="781 - Transporte aéreo"/>
    <x v="1546"/>
    <n v="470288.79"/>
    <n v="470046.79"/>
    <n v="230953.13"/>
  </r>
  <r>
    <x v="6"/>
    <x v="7"/>
    <s v="331 - Proteção e benefícios ao trabalhador"/>
    <x v="1547"/>
    <n v="62349322.25"/>
    <n v="63064495.880000003"/>
    <n v="0"/>
  </r>
  <r>
    <x v="6"/>
    <x v="9"/>
    <s v="331 - Proteção e benefícios ao trabalhador"/>
    <x v="0"/>
    <n v="8804944.5"/>
    <n v="8843908.4499999993"/>
    <n v="0"/>
  </r>
  <r>
    <x v="6"/>
    <x v="10"/>
    <s v="125 - Normatização e fiscalização"/>
    <x v="1548"/>
    <n v="170383.62"/>
    <n v="221282.07"/>
    <n v="0"/>
  </r>
  <r>
    <x v="6"/>
    <x v="15"/>
    <s v="122 - Administração geral"/>
    <x v="1549"/>
    <n v="40864.629999999997"/>
    <n v="21347.49"/>
    <n v="18915.849999999999"/>
  </r>
  <r>
    <x v="6"/>
    <x v="8"/>
    <s v="631 - Reforma agrária"/>
    <x v="1550"/>
    <n v="147621629.75"/>
    <n v="148805615.44"/>
    <n v="132734949.76000001"/>
  </r>
  <r>
    <x v="6"/>
    <x v="0"/>
    <s v="846 - Outros encargos especiais"/>
    <x v="1551"/>
    <n v="873674281.02999997"/>
    <n v="877805588.69000006"/>
    <n v="0"/>
  </r>
  <r>
    <x v="6"/>
    <x v="7"/>
    <s v="572 - Desenvolvimento tecnológico e engenharia"/>
    <x v="1552"/>
    <n v="2707151.81"/>
    <n v="7016048.1799999997"/>
    <n v="33825823.520000003"/>
  </r>
  <r>
    <x v="6"/>
    <x v="26"/>
    <s v="331 - Proteção e benefícios ao trabalhador"/>
    <x v="1553"/>
    <n v="7768374.1100000003"/>
    <n v="7859527.4500000002"/>
    <n v="0"/>
  </r>
  <r>
    <x v="6"/>
    <x v="21"/>
    <s v="391 - Patrimônio histórico, artístico e arqueológico"/>
    <x v="1554"/>
    <n v="3398278.03"/>
    <n v="3363332.51"/>
    <n v="3719341.89"/>
  </r>
  <r>
    <x v="6"/>
    <x v="4"/>
    <s v="331 - Proteção e benefícios ao trabalhador"/>
    <x v="0"/>
    <n v="2165039.4"/>
    <n v="2243077.85"/>
    <n v="0"/>
  </r>
  <r>
    <x v="6"/>
    <x v="20"/>
    <s v="366 - Educação de jovens e adultos"/>
    <x v="1555"/>
    <n v="1172475.44"/>
    <n v="1016861.41"/>
    <n v="3744.41"/>
  </r>
  <r>
    <x v="6"/>
    <x v="8"/>
    <s v="608 - Promoção da produção agropecuária"/>
    <x v="1556"/>
    <n v="202908.09"/>
    <n v="141287.67000000001"/>
    <n v="0"/>
  </r>
  <r>
    <x v="6"/>
    <x v="1"/>
    <s v="421 - Custódia e reintegração social"/>
    <x v="1557"/>
    <n v="1664032.04"/>
    <n v="1799984.6"/>
    <n v="21057525.969999999"/>
  </r>
  <r>
    <x v="6"/>
    <x v="20"/>
    <s v="121 - Planejamento e orçamento"/>
    <x v="1558"/>
    <n v="26806.47"/>
    <n v="25762.85"/>
    <n v="-8.4499999999999993"/>
  </r>
  <r>
    <x v="6"/>
    <x v="6"/>
    <s v="693 - Comércio exterior"/>
    <x v="1559"/>
    <n v="31359625.98"/>
    <n v="31456416.170000002"/>
    <n v="2379335.65"/>
  </r>
  <r>
    <x v="6"/>
    <x v="26"/>
    <s v="783 - Transporte ferroviário"/>
    <x v="1560"/>
    <n v="1273303.07"/>
    <n v="1275898.23"/>
    <n v="17051803"/>
  </r>
  <r>
    <x v="6"/>
    <x v="3"/>
    <s v="125 - Normatização e fiscalização"/>
    <x v="261"/>
    <n v="22521.07"/>
    <n v="22521.07"/>
    <n v="0"/>
  </r>
  <r>
    <x v="6"/>
    <x v="23"/>
    <s v="543 - Recuperação de áreas degradadas"/>
    <x v="1561"/>
    <n v="76410.69"/>
    <n v="697343.41"/>
    <n v="25944.35"/>
  </r>
  <r>
    <x v="6"/>
    <x v="21"/>
    <s v="331 - Proteção e benefícios ao trabalhador"/>
    <x v="1562"/>
    <n v="2908683.33"/>
    <n v="2898160.56"/>
    <n v="0"/>
  </r>
  <r>
    <x v="6"/>
    <x v="4"/>
    <s v="572 - Desenvolvimento tecnológico e engenharia"/>
    <x v="1563"/>
    <n v="4733164.5199999996"/>
    <n v="4375546.6399999997"/>
    <n v="4610667.5599999996"/>
  </r>
  <r>
    <x v="6"/>
    <x v="12"/>
    <s v="722 - Telecomunicações"/>
    <x v="1564"/>
    <n v="6596044.9199999999"/>
    <n v="10127301.99"/>
    <n v="0"/>
  </r>
  <r>
    <x v="6"/>
    <x v="16"/>
    <s v="182 - Defesa civil"/>
    <x v="1565"/>
    <n v="757991.44"/>
    <n v="777667.02"/>
    <n v="0"/>
  </r>
  <r>
    <x v="6"/>
    <x v="20"/>
    <s v="303 - Suporte profilático e terapêutico"/>
    <x v="1566"/>
    <n v="0"/>
    <n v="0"/>
    <n v="0"/>
  </r>
  <r>
    <x v="6"/>
    <x v="20"/>
    <s v="126 - Tecnologia da informação"/>
    <x v="1567"/>
    <n v="2113129.63"/>
    <n v="2063101.89"/>
    <n v="1849252.17"/>
  </r>
  <r>
    <x v="6"/>
    <x v="0"/>
    <s v="131 - Comunicação social"/>
    <x v="493"/>
    <n v="2265919.52"/>
    <n v="2265919.52"/>
    <n v="0"/>
  </r>
  <r>
    <x v="6"/>
    <x v="12"/>
    <s v="846 - Outros encargos especiais"/>
    <x v="1568"/>
    <n v="158878704.87"/>
    <n v="159178290.65000001"/>
    <n v="0"/>
  </r>
  <r>
    <x v="6"/>
    <x v="22"/>
    <s v="334 - Fomento ao trabalho"/>
    <x v="1569"/>
    <n v="2027338194.0999999"/>
    <n v="2027338787.55"/>
    <n v="997.98"/>
  </r>
  <r>
    <x v="6"/>
    <x v="12"/>
    <s v="092 - Representação judicial e extrajudicial"/>
    <x v="1570"/>
    <n v="2006489.91"/>
    <n v="2258735.4700000002"/>
    <n v="92134.82"/>
  </r>
  <r>
    <x v="6"/>
    <x v="12"/>
    <s v="125 - Normatização e fiscalização"/>
    <x v="1571"/>
    <n v="22999254.390000001"/>
    <n v="20823724.109999999"/>
    <n v="17466349.140000001"/>
  </r>
  <r>
    <x v="6"/>
    <x v="27"/>
    <s v="811 - Desporto de rendimento"/>
    <x v="1572"/>
    <n v="13299199.16"/>
    <n v="13064240.17"/>
    <n v="1564303.72"/>
  </r>
  <r>
    <x v="6"/>
    <x v="26"/>
    <s v="125 - Normatização e fiscalização"/>
    <x v="1573"/>
    <n v="10361438.48"/>
    <n v="12729897.210000001"/>
    <n v="89785.46"/>
  </r>
  <r>
    <x v="6"/>
    <x v="23"/>
    <s v="512 - Saneamento básico urbano"/>
    <x v="746"/>
    <n v="229350.22"/>
    <n v="229350.22"/>
    <n v="1000000"/>
  </r>
  <r>
    <x v="6"/>
    <x v="7"/>
    <s v="511 - Saneamento básico rural"/>
    <x v="1574"/>
    <n v="4521919.38"/>
    <n v="4321639.5999999996"/>
    <n v="297718.15999999997"/>
  </r>
  <r>
    <x v="6"/>
    <x v="26"/>
    <s v="784 - Transporte hidroviário"/>
    <x v="1575"/>
    <n v="88081128.819999993"/>
    <n v="86579703.310000002"/>
    <n v="8480886.1899999995"/>
  </r>
  <r>
    <x v="6"/>
    <x v="22"/>
    <s v="125 - Normatização e fiscalização"/>
    <x v="1576"/>
    <n v="2739570.96"/>
    <n v="2531391.87"/>
    <n v="1711373.64"/>
  </r>
  <r>
    <x v="6"/>
    <x v="12"/>
    <s v="331 - Proteção e benefícios ao trabalhador"/>
    <x v="1577"/>
    <n v="86928454.090000004"/>
    <n v="87071415.200000003"/>
    <n v="0"/>
  </r>
  <r>
    <x v="6"/>
    <x v="14"/>
    <s v="331 - Proteção e benefícios ao trabalhador"/>
    <x v="1578"/>
    <n v="1534475.96"/>
    <n v="1653593.96"/>
    <n v="0"/>
  </r>
  <r>
    <x v="6"/>
    <x v="23"/>
    <s v="122 - Administração geral"/>
    <x v="1579"/>
    <n v="99325535.5"/>
    <n v="121687739.86"/>
    <n v="2349065.4"/>
  </r>
  <r>
    <x v="6"/>
    <x v="5"/>
    <s v="607 - Irrigação"/>
    <x v="1580"/>
    <n v="3398996.12"/>
    <n v="4918567.95"/>
    <n v="4460273.4800000004"/>
  </r>
  <r>
    <x v="6"/>
    <x v="16"/>
    <s v="544 - Recursos hídricos"/>
    <x v="1581"/>
    <n v="291792.59999999998"/>
    <n v="306221.73"/>
    <n v="14875.22"/>
  </r>
  <r>
    <x v="6"/>
    <x v="20"/>
    <s v="302 - Assistência hospitalar e ambulatorial"/>
    <x v="1582"/>
    <n v="2909972.24"/>
    <n v="2826708.93"/>
    <n v="2060583.63"/>
  </r>
  <r>
    <x v="6"/>
    <x v="7"/>
    <s v="303 - Suporte profilático e terapêutico"/>
    <x v="1583"/>
    <n v="1678492623.9300001"/>
    <n v="1444280554.1800001"/>
    <n v="93427850.969999999"/>
  </r>
  <r>
    <x v="6"/>
    <x v="20"/>
    <s v="542 - Controle ambiental"/>
    <x v="1584"/>
    <n v="1930120.31"/>
    <n v="1702900.92"/>
    <n v="1563481.28"/>
  </r>
  <r>
    <x v="6"/>
    <x v="16"/>
    <s v="128 - Formação de recursos humanos"/>
    <x v="1585"/>
    <n v="156554.59"/>
    <n v="244036.09"/>
    <n v="0"/>
  </r>
  <r>
    <x v="6"/>
    <x v="20"/>
    <s v="722 - Telecomunicações"/>
    <x v="1586"/>
    <n v="191420.41"/>
    <n v="168847.18"/>
    <n v="387940.25"/>
  </r>
  <r>
    <x v="6"/>
    <x v="2"/>
    <s v="691 - Promoção comercial"/>
    <x v="1587"/>
    <n v="621661.85"/>
    <n v="621661.85"/>
    <n v="45359.4"/>
  </r>
  <r>
    <x v="6"/>
    <x v="8"/>
    <s v="422 - Direitos individuais, coletivos e difusos"/>
    <x v="1588"/>
    <n v="88122.57"/>
    <n v="82336.66"/>
    <n v="0"/>
  </r>
  <r>
    <x v="6"/>
    <x v="1"/>
    <s v="331 - Proteção e benefícios ao trabalhador"/>
    <x v="1589"/>
    <n v="36257819.799999997"/>
    <n v="35484984.049999997"/>
    <n v="0"/>
  </r>
  <r>
    <x v="6"/>
    <x v="20"/>
    <s v="333 - Empregabilidade"/>
    <x v="1590"/>
    <n v="126021.89"/>
    <n v="96381.43"/>
    <n v="63209.38"/>
  </r>
  <r>
    <x v="6"/>
    <x v="21"/>
    <s v="392 - Difusão cultural"/>
    <x v="1591"/>
    <n v="10336690.08"/>
    <n v="158576655.21000001"/>
    <n v="5427922.6200000001"/>
  </r>
  <r>
    <x v="6"/>
    <x v="19"/>
    <s v="453 - Transportes coletivos urbanos"/>
    <x v="1592"/>
    <n v="23557830.09"/>
    <n v="25314251.280000001"/>
    <n v="5483207.3600000003"/>
  </r>
  <r>
    <x v="6"/>
    <x v="20"/>
    <s v="482 - Habitação urbana"/>
    <x v="1593"/>
    <n v="11605646.560000001"/>
    <n v="10273756.07"/>
    <n v="12134669.34"/>
  </r>
  <r>
    <x v="6"/>
    <x v="25"/>
    <s v="512 - Saneamento básico urbano"/>
    <x v="1594"/>
    <n v="18750701.16"/>
    <n v="18782370.969999999"/>
    <n v="11768606.74"/>
  </r>
  <r>
    <x v="6"/>
    <x v="4"/>
    <s v="125 - Normatização e fiscalização"/>
    <x v="1595"/>
    <n v="5110035.9800000004"/>
    <n v="6024536.0300000003"/>
    <n v="674322.42"/>
  </r>
  <r>
    <x v="6"/>
    <x v="12"/>
    <s v="183 - Informação e inteligência"/>
    <x v="1596"/>
    <n v="6479354.4900000002"/>
    <n v="6719489.1500000004"/>
    <n v="1498602.41"/>
  </r>
  <r>
    <x v="6"/>
    <x v="6"/>
    <s v="695 - Turismo"/>
    <x v="1597"/>
    <n v="220675261.28999999"/>
    <n v="220579770.49000001"/>
    <n v="106247669.20999999"/>
  </r>
  <r>
    <x v="6"/>
    <x v="19"/>
    <s v="244 - Assistência comunitária"/>
    <x v="0"/>
    <n v="0"/>
    <n v="0"/>
    <n v="213326218.41999999"/>
  </r>
  <r>
    <x v="6"/>
    <x v="18"/>
    <s v="722 - Telecomunicações"/>
    <x v="1598"/>
    <n v="24056423.780000001"/>
    <n v="26392551.359999999"/>
    <n v="2812166.43"/>
  </r>
  <r>
    <x v="6"/>
    <x v="3"/>
    <s v="331 - Proteção e benefícios ao trabalhador"/>
    <x v="1599"/>
    <n v="8949009.3599999994"/>
    <n v="8741330.8399999999"/>
    <n v="0"/>
  </r>
  <r>
    <x v="6"/>
    <x v="20"/>
    <s v="423 - Assistência aos povos indígenas"/>
    <x v="1600"/>
    <n v="16211945.17"/>
    <n v="17087820.75"/>
    <n v="0"/>
  </r>
  <r>
    <x v="6"/>
    <x v="13"/>
    <s v="306 - Alimentação e nutrição"/>
    <x v="1601"/>
    <n v="3849704.58"/>
    <n v="3690835.72"/>
    <n v="25097793.41"/>
  </r>
  <r>
    <x v="6"/>
    <x v="20"/>
    <s v="212 - Cooperação internacional"/>
    <x v="1602"/>
    <n v="649419.94999999995"/>
    <n v="580905.97"/>
    <n v="467093.05"/>
  </r>
  <r>
    <x v="6"/>
    <x v="23"/>
    <s v="542 - Controle ambiental"/>
    <x v="1603"/>
    <n v="9123156.6999999993"/>
    <n v="8683405.3699999992"/>
    <n v="2061352.28"/>
  </r>
  <r>
    <x v="6"/>
    <x v="7"/>
    <s v="128 - Formação de recursos humanos"/>
    <x v="1604"/>
    <n v="161436185.46000001"/>
    <n v="166057441.38"/>
    <n v="2801968.66"/>
  </r>
  <r>
    <x v="6"/>
    <x v="0"/>
    <s v="366 - Educação de jovens e adultos"/>
    <x v="1605"/>
    <n v="21477.119999999999"/>
    <n v="16060.92"/>
    <n v="268544.37"/>
  </r>
  <r>
    <x v="6"/>
    <x v="0"/>
    <s v="301 - Atenção básica"/>
    <x v="0"/>
    <n v="0"/>
    <n v="0"/>
    <n v="21630.37"/>
  </r>
  <r>
    <x v="6"/>
    <x v="13"/>
    <s v="122 - Administração geral"/>
    <x v="1606"/>
    <n v="4687975.63"/>
    <n v="4718514.46"/>
    <n v="2931697.09"/>
  </r>
  <r>
    <x v="6"/>
    <x v="26"/>
    <s v="121 - Planejamento e orçamento"/>
    <x v="1607"/>
    <n v="8321290.5700000003"/>
    <n v="7784861.6900000004"/>
    <n v="11647292.33"/>
  </r>
  <r>
    <x v="6"/>
    <x v="0"/>
    <s v="367 - Educação especial"/>
    <x v="1608"/>
    <n v="2025332.97"/>
    <n v="1975610.22"/>
    <n v="985748.52"/>
  </r>
  <r>
    <x v="6"/>
    <x v="10"/>
    <s v="331 - Proteção e benefícios ao trabalhador"/>
    <x v="1609"/>
    <n v="24314224.629999999"/>
    <n v="22863228.850000001"/>
    <n v="0"/>
  </r>
  <r>
    <x v="6"/>
    <x v="10"/>
    <s v="122 - Administração geral"/>
    <x v="1610"/>
    <n v="215712909.28999999"/>
    <n v="257912816.24000001"/>
    <n v="2681859.4500000002"/>
  </r>
  <r>
    <x v="6"/>
    <x v="18"/>
    <s v="126 - Tecnologia da informação"/>
    <x v="1611"/>
    <n v="6454218.8399999999"/>
    <n v="8254218.8399999999"/>
    <n v="370013.31"/>
  </r>
  <r>
    <x v="6"/>
    <x v="14"/>
    <s v="125 - Normatização e fiscalização"/>
    <x v="1612"/>
    <n v="5474246.2000000002"/>
    <n v="5162346.49"/>
    <n v="2181417.0499999998"/>
  </r>
  <r>
    <x v="6"/>
    <x v="16"/>
    <s v="122 - Administração geral"/>
    <x v="1613"/>
    <n v="87669697.549999997"/>
    <n v="107996326.01000001"/>
    <n v="324572.17"/>
  </r>
  <r>
    <x v="6"/>
    <x v="4"/>
    <s v="122 - Administração geral"/>
    <x v="1614"/>
    <n v="53208947.950000003"/>
    <n v="66276464.630000003"/>
    <n v="117717.16"/>
  </r>
  <r>
    <x v="6"/>
    <x v="16"/>
    <s v="127 - Ordenamento territorial"/>
    <x v="1615"/>
    <n v="55109.43"/>
    <n v="69266.81"/>
    <n v="20138.96"/>
  </r>
  <r>
    <x v="6"/>
    <x v="20"/>
    <s v="244 - Assistência comunitária"/>
    <x v="1616"/>
    <n v="2735733.29"/>
    <n v="341492.88"/>
    <n v="61654931.149999999"/>
  </r>
  <r>
    <x v="6"/>
    <x v="14"/>
    <s v="422 - Direitos individuais, coletivos e difusos"/>
    <x v="1617"/>
    <n v="10443292.539999999"/>
    <n v="10189828.720000001"/>
    <n v="26434303.98"/>
  </r>
  <r>
    <x v="6"/>
    <x v="12"/>
    <s v="126 - Tecnologia da informação"/>
    <x v="1618"/>
    <n v="149772668.66999999"/>
    <n v="149271018.00999999"/>
    <n v="7093340.6100000003"/>
  </r>
  <r>
    <x v="6"/>
    <x v="19"/>
    <s v="451 - infra-estrutura urbana"/>
    <x v="1619"/>
    <n v="0"/>
    <n v="0"/>
    <n v="165801959.55000001"/>
  </r>
  <r>
    <x v="6"/>
    <x v="10"/>
    <s v="272 - Previdência do regime estatutário"/>
    <x v="1620"/>
    <n v="8081315874.8100004"/>
    <n v="11914665489.6"/>
    <n v="3128.8"/>
  </r>
  <r>
    <x v="6"/>
    <x v="0"/>
    <s v="331 - Proteção e benefícios ao trabalhador"/>
    <x v="1621"/>
    <n v="302566168.55000001"/>
    <n v="301779321.47000003"/>
    <n v="0"/>
  </r>
  <r>
    <x v="6"/>
    <x v="23"/>
    <s v="541 - Preservação e conservação ambiental"/>
    <x v="1622"/>
    <n v="13199035.66"/>
    <n v="16603499.449999999"/>
    <n v="10511847.550000001"/>
  </r>
  <r>
    <x v="6"/>
    <x v="21"/>
    <s v="122 - Administração geral"/>
    <x v="1623"/>
    <n v="57325268.960000001"/>
    <n v="67105670.210000001"/>
    <n v="1239076.8600000001"/>
  </r>
  <r>
    <x v="6"/>
    <x v="10"/>
    <s v="846 - Outros encargos especiais"/>
    <x v="1624"/>
    <n v="18638419.719999999"/>
    <n v="18638419.719999999"/>
    <n v="0"/>
  </r>
  <r>
    <x v="6"/>
    <x v="27"/>
    <s v="812 - Desporto comunitário"/>
    <x v="1625"/>
    <n v="3697909"/>
    <n v="3697909"/>
    <n v="40261763.719999999"/>
  </r>
  <r>
    <x v="6"/>
    <x v="7"/>
    <s v="305 - Vigilância epidemiológica"/>
    <x v="1626"/>
    <n v="583413992.50999999"/>
    <n v="581473853.01999998"/>
    <n v="48301601.030000001"/>
  </r>
  <r>
    <x v="6"/>
    <x v="5"/>
    <s v="605 - Abastecimento"/>
    <x v="1627"/>
    <n v="1101351445.5699999"/>
    <n v="1101591505.7"/>
    <n v="4467311.6399999997"/>
  </r>
  <r>
    <x v="6"/>
    <x v="0"/>
    <s v="365 - Educação infantil"/>
    <x v="1628"/>
    <n v="12673232.52"/>
    <n v="12673232.52"/>
    <n v="2141524.63"/>
  </r>
  <r>
    <x v="6"/>
    <x v="20"/>
    <s v="571 - Desenvolvimento científico"/>
    <x v="1629"/>
    <n v="1753751.73"/>
    <n v="326637.06"/>
    <n v="85127.24"/>
  </r>
  <r>
    <x v="6"/>
    <x v="4"/>
    <s v="751 - Conservação de energia"/>
    <x v="1630"/>
    <n v="3348742.61"/>
    <n v="3845885.63"/>
    <n v="136904.70000000001"/>
  </r>
  <r>
    <x v="6"/>
    <x v="0"/>
    <s v="306 - Alimentação e nutrição"/>
    <x v="1631"/>
    <n v="506333215.20999998"/>
    <n v="506434714.75999999"/>
    <n v="1978526.66"/>
  </r>
  <r>
    <x v="6"/>
    <x v="23"/>
    <s v="544 - Recursos hídricos"/>
    <x v="1632"/>
    <n v="125163652.23"/>
    <n v="84377217.659999996"/>
    <n v="23576322.170000002"/>
  </r>
  <r>
    <x v="6"/>
    <x v="8"/>
    <s v="127 - Ordenamento territorial"/>
    <x v="1633"/>
    <n v="1421453.24"/>
    <n v="1521983.44"/>
    <n v="739696.21"/>
  </r>
  <r>
    <x v="6"/>
    <x v="23"/>
    <s v="331 - Proteção e benefícios ao trabalhador"/>
    <x v="1634"/>
    <n v="5272824.5999999996"/>
    <n v="5351971.96"/>
    <n v="0"/>
  </r>
  <r>
    <x v="6"/>
    <x v="7"/>
    <s v="301 - Atenção básica"/>
    <x v="1635"/>
    <n v="3655346006.8699999"/>
    <n v="3605748032.9400001"/>
    <n v="175300994.16"/>
  </r>
  <r>
    <x v="6"/>
    <x v="0"/>
    <s v="122 - Administração geral"/>
    <x v="1636"/>
    <n v="92679086.480000004"/>
    <n v="106863601.38"/>
    <n v="2562380.62"/>
  </r>
  <r>
    <x v="6"/>
    <x v="12"/>
    <s v="128 - Formação de recursos humanos"/>
    <x v="1637"/>
    <n v="654648.73"/>
    <n v="627279.74"/>
    <n v="48580.22"/>
  </r>
  <r>
    <x v="6"/>
    <x v="3"/>
    <s v="571 - Desenvolvimento científico"/>
    <x v="1638"/>
    <n v="327116699"/>
    <n v="318445576.66000003"/>
    <n v="44352434.219999999"/>
  </r>
  <r>
    <x v="6"/>
    <x v="5"/>
    <s v="331 - Proteção e benefícios ao trabalhador"/>
    <x v="1639"/>
    <n v="15745091.5"/>
    <n v="8646534.1099999994"/>
    <n v="0"/>
  </r>
  <r>
    <x v="6"/>
    <x v="12"/>
    <s v="127 - Ordenamento territorial"/>
    <x v="1640"/>
    <n v="4042864.19"/>
    <n v="3373233.51"/>
    <n v="2571420.36"/>
  </r>
  <r>
    <x v="6"/>
    <x v="23"/>
    <s v="125 - Normatização e fiscalização"/>
    <x v="1641"/>
    <n v="21658642.899999999"/>
    <n v="17627635.920000002"/>
    <n v="7373482.9199999999"/>
  </r>
  <r>
    <x v="6"/>
    <x v="18"/>
    <s v="125 - Normatização e fiscalização"/>
    <x v="1642"/>
    <n v="2385582.8199999998"/>
    <n v="2329536.6800000002"/>
    <n v="57189.96"/>
  </r>
  <r>
    <x v="6"/>
    <x v="20"/>
    <s v="151 - Defesa aérea"/>
    <x v="1643"/>
    <n v="416443362.43000001"/>
    <n v="416314378.10000002"/>
    <n v="44054529.350000001"/>
  </r>
  <r>
    <x v="6"/>
    <x v="3"/>
    <s v="572 - Desenvolvimento tecnológico e engenharia"/>
    <x v="1644"/>
    <n v="222966372.84"/>
    <n v="225020575.90000001"/>
    <n v="21350619.510000002"/>
  </r>
  <r>
    <x v="6"/>
    <x v="18"/>
    <s v="122 - Administração geral"/>
    <x v="1645"/>
    <n v="55022262.18"/>
    <n v="60820671.229999997"/>
    <n v="1179849.2"/>
  </r>
  <r>
    <x v="6"/>
    <x v="19"/>
    <s v="331 - Proteção e benefícios ao trabalhador"/>
    <x v="1646"/>
    <n v="7821380.3099999996"/>
    <n v="7829716.8499999996"/>
    <n v="0"/>
  </r>
  <r>
    <x v="6"/>
    <x v="1"/>
    <s v="122 - Administração geral"/>
    <x v="1647"/>
    <n v="650787364.54999995"/>
    <n v="764424871.82000005"/>
    <n v="4158224.2"/>
  </r>
  <r>
    <x v="6"/>
    <x v="20"/>
    <s v="301 - Atenção básica"/>
    <x v="1648"/>
    <n v="2000702.65"/>
    <n v="90338.95"/>
    <n v="32392728.199999999"/>
  </r>
  <r>
    <x v="6"/>
    <x v="3"/>
    <s v="122 - Administração geral"/>
    <x v="1649"/>
    <n v="126894583.14"/>
    <n v="143087696.28999999"/>
    <n v="4477034.54"/>
  </r>
  <r>
    <x v="6"/>
    <x v="26"/>
    <s v="782 - Transporte rodoviário"/>
    <x v="1650"/>
    <n v="1008313435.64"/>
    <n v="967067211.13"/>
    <n v="271118013.23000002"/>
  </r>
  <r>
    <x v="6"/>
    <x v="5"/>
    <s v="572 - Desenvolvimento tecnológico e engenharia"/>
    <x v="1651"/>
    <n v="15752468.75"/>
    <n v="17297405.449999999"/>
    <n v="5736763.3700000001"/>
  </r>
  <r>
    <x v="6"/>
    <x v="7"/>
    <s v="423 - Assistência aos povos indígenas"/>
    <x v="1652"/>
    <n v="249760750.97999999"/>
    <n v="247211006.62"/>
    <n v="2735021.9"/>
  </r>
  <r>
    <x v="6"/>
    <x v="16"/>
    <s v="663 - Mineração"/>
    <x v="1653"/>
    <n v="1608953.28"/>
    <n v="2488126.2599999998"/>
    <n v="450233.08"/>
  </r>
  <r>
    <x v="6"/>
    <x v="20"/>
    <s v="363 - Ensino profissional"/>
    <x v="1654"/>
    <n v="3308569.51"/>
    <n v="2749933.76"/>
    <n v="1361659.9"/>
  </r>
  <r>
    <x v="6"/>
    <x v="2"/>
    <s v="331 - Proteção e benefícios ao trabalhador"/>
    <x v="1655"/>
    <n v="55928974.780000001"/>
    <n v="55961322.299999997"/>
    <n v="0"/>
  </r>
  <r>
    <x v="6"/>
    <x v="9"/>
    <s v="092 - Representação judicial e extrajudicial"/>
    <x v="1656"/>
    <n v="34183504.100000001"/>
    <n v="33126617.379999999"/>
    <n v="788206.67"/>
  </r>
  <r>
    <x v="6"/>
    <x v="22"/>
    <s v="122 - Administração geral"/>
    <x v="1657"/>
    <n v="182883391.03999999"/>
    <n v="230455001.63"/>
    <n v="782505.08"/>
  </r>
  <r>
    <x v="6"/>
    <x v="5"/>
    <s v="609 - Defesa agropecuária"/>
    <x v="1658"/>
    <n v="2981685.65"/>
    <n v="2284097.13"/>
    <n v="915848.12"/>
  </r>
  <r>
    <x v="6"/>
    <x v="7"/>
    <s v="122 - Administração geral"/>
    <x v="1659"/>
    <n v="609309478.42999995"/>
    <n v="758126640.57000005"/>
    <n v="7974186.71"/>
  </r>
  <r>
    <x v="6"/>
    <x v="26"/>
    <s v="122 - Administração geral"/>
    <x v="1660"/>
    <n v="154842869.74000001"/>
    <n v="181480286.84999999"/>
    <n v="5193157.78"/>
  </r>
  <r>
    <x v="6"/>
    <x v="12"/>
    <s v="121 - Planejamento e orçamento"/>
    <x v="1661"/>
    <n v="20507592.969999999"/>
    <n v="30334689.079999998"/>
    <n v="10050575.75"/>
  </r>
  <r>
    <x v="6"/>
    <x v="11"/>
    <s v="846 - Outros encargos especiais"/>
    <x v="1662"/>
    <n v="3763199481.0599999"/>
    <n v="3815170341.0100002"/>
    <n v="105389114.93000001"/>
  </r>
  <r>
    <x v="6"/>
    <x v="2"/>
    <s v="392 - Difusão cultural"/>
    <x v="1663"/>
    <n v="3483252"/>
    <n v="3476683.15"/>
    <n v="424385.39"/>
  </r>
  <r>
    <x v="6"/>
    <x v="0"/>
    <s v="128 - Formação de recursos humanos"/>
    <x v="1664"/>
    <n v="3396786.14"/>
    <n v="3011538.48"/>
    <n v="1027018.86"/>
  </r>
  <r>
    <x v="6"/>
    <x v="16"/>
    <s v="331 - Proteção e benefícios ao trabalhador"/>
    <x v="1665"/>
    <n v="5079199.09"/>
    <n v="6326421.1200000001"/>
    <n v="0"/>
  </r>
  <r>
    <x v="6"/>
    <x v="14"/>
    <s v="423 - Assistência aos povos indígenas"/>
    <x v="1666"/>
    <n v="2474013.7599999998"/>
    <n v="2168357.48"/>
    <n v="429378.44"/>
  </r>
  <r>
    <x v="6"/>
    <x v="20"/>
    <s v="152 - Defesa naval"/>
    <x v="1667"/>
    <n v="218646171.03999999"/>
    <n v="215472565.00999999"/>
    <n v="9538949.8599999994"/>
  </r>
  <r>
    <x v="6"/>
    <x v="14"/>
    <s v="122 - Administração geral"/>
    <x v="1668"/>
    <n v="31164151.329999998"/>
    <n v="34824873.590000004"/>
    <n v="518750.05"/>
  </r>
  <r>
    <x v="6"/>
    <x v="1"/>
    <s v="181 - Policiamento"/>
    <x v="1669"/>
    <n v="116664645.72"/>
    <n v="110815103.86"/>
    <n v="79469365.680000007"/>
  </r>
  <r>
    <x v="6"/>
    <x v="8"/>
    <s v="122 - Administração geral"/>
    <x v="1670"/>
    <n v="94481366.150000006"/>
    <n v="223717059.37"/>
    <n v="1806821.24"/>
  </r>
  <r>
    <x v="6"/>
    <x v="22"/>
    <s v="331 - Proteção e benefícios ao trabalhador"/>
    <x v="1671"/>
    <n v="8453409127.1899996"/>
    <n v="8453375004.0299997"/>
    <n v="33822537"/>
  </r>
  <r>
    <x v="6"/>
    <x v="8"/>
    <s v="331 - Proteção e benefícios ao trabalhador"/>
    <x v="1672"/>
    <n v="10696973.449999999"/>
    <n v="11144472.08"/>
    <n v="0"/>
  </r>
  <r>
    <x v="6"/>
    <x v="0"/>
    <s v="368 - Educação básica"/>
    <x v="1673"/>
    <n v="246678380.77000001"/>
    <n v="260234168.94999999"/>
    <n v="47517182.020000003"/>
  </r>
  <r>
    <x v="6"/>
    <x v="7"/>
    <s v="302 - Assistência hospitalar e ambulatorial"/>
    <x v="1674"/>
    <n v="5587043253.5500002"/>
    <n v="5570351484.6899996"/>
    <n v="218669153.46000001"/>
  </r>
  <r>
    <x v="6"/>
    <x v="20"/>
    <s v="128 - Formação de recursos humanos"/>
    <x v="1675"/>
    <n v="12693831.93"/>
    <n v="13092751.07"/>
    <n v="1419220.1"/>
  </r>
  <r>
    <x v="6"/>
    <x v="2"/>
    <s v="211 - Relações diplomáticas"/>
    <x v="1676"/>
    <n v="63402005.18"/>
    <n v="64485240.469999999"/>
    <n v="434169.21"/>
  </r>
  <r>
    <x v="6"/>
    <x v="20"/>
    <s v="368 - Educação básica"/>
    <x v="1677"/>
    <n v="3497456.77"/>
    <n v="2701754.35"/>
    <n v="188491.82"/>
  </r>
  <r>
    <x v="6"/>
    <x v="12"/>
    <s v="124 - Controle interno"/>
    <x v="1678"/>
    <n v="7995743.7199999997"/>
    <n v="6353228.1799999997"/>
    <n v="5498355.2300000004"/>
  </r>
  <r>
    <x v="6"/>
    <x v="20"/>
    <s v="125 - Normatização e fiscalização"/>
    <x v="1679"/>
    <n v="14957415.210000001"/>
    <n v="14527589.449999999"/>
    <n v="2523541.34"/>
  </r>
  <r>
    <x v="6"/>
    <x v="1"/>
    <s v="182 - Defesa civil"/>
    <x v="1680"/>
    <n v="137436923.22"/>
    <n v="103015581.86"/>
    <n v="7942829.1600000001"/>
  </r>
  <r>
    <x v="6"/>
    <x v="5"/>
    <s v="122 - Administração geral"/>
    <x v="1681"/>
    <n v="357980506.81999999"/>
    <n v="475014205.24000001"/>
    <n v="997581.47"/>
  </r>
  <r>
    <x v="6"/>
    <x v="20"/>
    <s v="572 - Desenvolvimento tecnológico e engenharia"/>
    <x v="1682"/>
    <n v="25472249.989999998"/>
    <n v="38534211.57"/>
    <n v="1857585.73"/>
  </r>
  <r>
    <x v="6"/>
    <x v="7"/>
    <s v="571 - Desenvolvimento científico"/>
    <x v="1683"/>
    <n v="103991433.09999999"/>
    <n v="99043114.430000007"/>
    <n v="19253354.120000001"/>
  </r>
  <r>
    <x v="6"/>
    <x v="5"/>
    <s v="691 - Promoção comercial"/>
    <x v="1684"/>
    <n v="2482484.42"/>
    <n v="2471883.25"/>
    <n v="-4159.41"/>
  </r>
  <r>
    <x v="6"/>
    <x v="11"/>
    <s v="845 - Outras transferências"/>
    <x v="1685"/>
    <n v="31651358752.919998"/>
    <n v="32021026292.369999"/>
    <n v="2964247652.3299999"/>
  </r>
  <r>
    <x v="6"/>
    <x v="20"/>
    <s v="153 - Defesa terrestre"/>
    <x v="1686"/>
    <n v="113183610.14"/>
    <n v="119352940.23"/>
    <n v="253990711.69999999"/>
  </r>
  <r>
    <x v="6"/>
    <x v="12"/>
    <s v="122 - Administração geral"/>
    <x v="1687"/>
    <n v="1621935274.3699999"/>
    <n v="1960294480.1700001"/>
    <n v="56456119.719999999"/>
  </r>
  <r>
    <x v="6"/>
    <x v="10"/>
    <s v="271 - Previdência básica"/>
    <x v="1688"/>
    <n v="65263287336.839996"/>
    <n v="89008177212.529999"/>
    <n v="384402.52"/>
  </r>
  <r>
    <x v="6"/>
    <x v="0"/>
    <s v="302 - Assistência hospitalar e ambulatorial"/>
    <x v="1689"/>
    <n v="899234199.38"/>
    <n v="1158353636.73"/>
    <n v="17497017.960000001"/>
  </r>
  <r>
    <x v="6"/>
    <x v="5"/>
    <s v="608 - Promoção da produção agropecuária"/>
    <x v="1690"/>
    <n v="1331098735.4100001"/>
    <n v="1299565373.1800001"/>
    <n v="34538280.490000002"/>
  </r>
  <r>
    <x v="6"/>
    <x v="0"/>
    <s v="364 - Ensino superior"/>
    <x v="1691"/>
    <n v="3069372558.2600002"/>
    <n v="3663309022.52"/>
    <n v="101692537.01000001"/>
  </r>
  <r>
    <x v="6"/>
    <x v="20"/>
    <s v="122 - Administração geral"/>
    <x v="1692"/>
    <n v="5097487839.6300001"/>
    <n v="7101140067.2600002"/>
    <n v="29785270.670000002"/>
  </r>
  <r>
    <x v="6"/>
    <x v="5"/>
    <s v="125 - Normatização e fiscalização"/>
    <x v="1693"/>
    <n v="15454386.49"/>
    <n v="14552232.98"/>
    <n v="1850064.15"/>
  </r>
  <r>
    <x v="6"/>
    <x v="20"/>
    <s v="331 - Proteção e benefícios ao trabalhador"/>
    <x v="1694"/>
    <n v="693794439.34000003"/>
    <n v="677584012.07000005"/>
    <n v="16515857.65"/>
  </r>
  <r>
    <x v="6"/>
    <x v="13"/>
    <s v="244 - Assistência comunitária"/>
    <x v="1695"/>
    <n v="14161914613.49"/>
    <n v="14163917871.84"/>
    <n v="142395686.75"/>
  </r>
  <r>
    <x v="6"/>
    <x v="0"/>
    <s v="363 - Ensino profissional"/>
    <x v="1696"/>
    <n v="1133685353.9400001"/>
    <n v="1363338947.0899999"/>
    <n v="63864241.07"/>
  </r>
  <r>
    <x v="6"/>
    <x v="2"/>
    <s v="122 - Administração geral"/>
    <x v="1697"/>
    <n v="149345686.44999999"/>
    <n v="157173668.21000001"/>
    <n v="721378.77"/>
  </r>
  <r>
    <x v="7"/>
    <x v="9"/>
    <s v="032 - Controle externo"/>
    <x v="1698"/>
    <n v="43879.46"/>
    <n v="43879.46"/>
    <n v="0"/>
  </r>
  <r>
    <x v="7"/>
    <x v="1"/>
    <s v="482 - Habitação urbana"/>
    <x v="1699"/>
    <n v="250416.26"/>
    <n v="250416.26"/>
    <n v="0"/>
  </r>
  <r>
    <x v="7"/>
    <x v="22"/>
    <s v="332 - Relações de trabalho"/>
    <x v="261"/>
    <n v="159519.97"/>
    <n v="90363.55"/>
    <n v="0"/>
  </r>
  <r>
    <x v="7"/>
    <x v="7"/>
    <s v="422 - Direitos individuais, coletivos e difusos"/>
    <x v="0"/>
    <n v="487723.4"/>
    <n v="199880.81"/>
    <n v="2000000"/>
  </r>
  <r>
    <x v="7"/>
    <x v="26"/>
    <s v="846 - Outros encargos especiais"/>
    <x v="0"/>
    <n v="41142.31"/>
    <n v="51665.71"/>
    <n v="0"/>
  </r>
  <r>
    <x v="7"/>
    <x v="19"/>
    <s v="452 - Serviços urbanos"/>
    <x v="0"/>
    <n v="0"/>
    <n v="0"/>
    <n v="0"/>
  </r>
  <r>
    <x v="7"/>
    <x v="4"/>
    <s v="846 - Outros encargos especiais"/>
    <x v="0"/>
    <n v="201065.60000000001"/>
    <n v="201065.60000000001"/>
    <n v="0"/>
  </r>
  <r>
    <x v="7"/>
    <x v="10"/>
    <s v="301 - Atenção básica"/>
    <x v="0"/>
    <n v="0"/>
    <n v="0"/>
    <n v="9140.42"/>
  </r>
  <r>
    <x v="7"/>
    <x v="17"/>
    <s v="482 - Habitação urbana"/>
    <x v="0"/>
    <n v="0"/>
    <n v="0"/>
    <n v="0"/>
  </r>
  <r>
    <x v="7"/>
    <x v="7"/>
    <s v="306 - Alimentação e nutrição"/>
    <x v="1700"/>
    <n v="22149.88"/>
    <n v="22149.88"/>
    <n v="497280"/>
  </r>
  <r>
    <x v="7"/>
    <x v="12"/>
    <s v="301 - Atenção básica"/>
    <x v="0"/>
    <n v="0"/>
    <n v="0"/>
    <n v="1651.59"/>
  </r>
  <r>
    <x v="7"/>
    <x v="5"/>
    <s v="211 - Relações diplomáticas"/>
    <x v="1701"/>
    <n v="193077.21"/>
    <n v="193077.21"/>
    <n v="0"/>
  </r>
  <r>
    <x v="7"/>
    <x v="9"/>
    <s v="846 - Outros encargos especiais"/>
    <x v="0"/>
    <n v="36156.58"/>
    <n v="36156.58"/>
    <n v="0"/>
  </r>
  <r>
    <x v="7"/>
    <x v="5"/>
    <s v="846 - Outros encargos especiais"/>
    <x v="0"/>
    <n v="0"/>
    <n v="123059.64"/>
    <n v="0"/>
  </r>
  <r>
    <x v="7"/>
    <x v="26"/>
    <s v="131 - Comunicação social"/>
    <x v="1702"/>
    <n v="3362597.01"/>
    <n v="2018832.78"/>
    <n v="0"/>
  </r>
  <r>
    <x v="7"/>
    <x v="16"/>
    <s v="333 - Empregabilidade"/>
    <x v="0"/>
    <n v="0"/>
    <n v="0"/>
    <n v="0"/>
  </r>
  <r>
    <x v="7"/>
    <x v="4"/>
    <s v="753 - Combustíveis"/>
    <x v="0"/>
    <n v="3612.5"/>
    <n v="3612.5"/>
    <n v="0"/>
  </r>
  <r>
    <x v="7"/>
    <x v="5"/>
    <s v="631 - Reforma agrária"/>
    <x v="0"/>
    <n v="0"/>
    <n v="0"/>
    <n v="97367.39"/>
  </r>
  <r>
    <x v="7"/>
    <x v="1"/>
    <s v="301 - Atenção básica"/>
    <x v="0"/>
    <n v="0"/>
    <n v="0"/>
    <n v="3389.64"/>
  </r>
  <r>
    <x v="7"/>
    <x v="22"/>
    <s v="123 - Administração financeira"/>
    <x v="233"/>
    <n v="9223.65"/>
    <n v="0"/>
    <n v="0"/>
  </r>
  <r>
    <x v="7"/>
    <x v="12"/>
    <s v="571 - Desenvolvimento científico"/>
    <x v="0"/>
    <n v="1419623.8"/>
    <n v="1419623.8"/>
    <n v="0"/>
  </r>
  <r>
    <x v="7"/>
    <x v="13"/>
    <s v="126 - Tecnologia da informação"/>
    <x v="0"/>
    <n v="3094218.16"/>
    <n v="3094218.16"/>
    <n v="0"/>
  </r>
  <r>
    <x v="7"/>
    <x v="13"/>
    <s v="511 - Saneamento básico rural"/>
    <x v="1703"/>
    <n v="0"/>
    <n v="0"/>
    <n v="0"/>
  </r>
  <r>
    <x v="7"/>
    <x v="14"/>
    <s v="241 - Assistência ao idoso"/>
    <x v="0"/>
    <n v="0"/>
    <n v="0"/>
    <n v="2050"/>
  </r>
  <r>
    <x v="7"/>
    <x v="14"/>
    <s v="421 - Custódia e reintegração social"/>
    <x v="0"/>
    <n v="0"/>
    <n v="0"/>
    <n v="0"/>
  </r>
  <r>
    <x v="7"/>
    <x v="21"/>
    <s v="691 - Promoção comercial"/>
    <x v="0"/>
    <n v="200000000"/>
    <n v="200000000"/>
    <n v="0"/>
  </r>
  <r>
    <x v="7"/>
    <x v="22"/>
    <s v="128 - Formação de recursos humanos"/>
    <x v="0"/>
    <n v="1035.06"/>
    <n v="1035.06"/>
    <n v="0"/>
  </r>
  <r>
    <x v="7"/>
    <x v="7"/>
    <s v="131 - Comunicação social"/>
    <x v="1704"/>
    <n v="8872712.0099999998"/>
    <n v="15455422.77"/>
    <n v="86745.600000000006"/>
  </r>
  <r>
    <x v="7"/>
    <x v="19"/>
    <s v="121 - Planejamento e orçamento"/>
    <x v="462"/>
    <n v="0"/>
    <n v="0"/>
    <n v="0"/>
  </r>
  <r>
    <x v="7"/>
    <x v="5"/>
    <s v="127 - Ordenamento territorial"/>
    <x v="0"/>
    <n v="0"/>
    <n v="0"/>
    <n v="214875"/>
  </r>
  <r>
    <x v="7"/>
    <x v="7"/>
    <s v="846 - Outros encargos especiais"/>
    <x v="0"/>
    <n v="95247.54"/>
    <n v="95247.54"/>
    <n v="4970.28"/>
  </r>
  <r>
    <x v="7"/>
    <x v="15"/>
    <s v="128 - Formação de recursos humanos"/>
    <x v="1705"/>
    <n v="0"/>
    <n v="0"/>
    <n v="0"/>
  </r>
  <r>
    <x v="7"/>
    <x v="2"/>
    <s v="846 - Outros encargos especiais"/>
    <x v="0"/>
    <n v="83161.899999999994"/>
    <n v="83161.899999999994"/>
    <n v="0"/>
  </r>
  <r>
    <x v="7"/>
    <x v="3"/>
    <s v="541 - Preservação e conservação ambiental"/>
    <x v="744"/>
    <n v="20749.34"/>
    <n v="20749.34"/>
    <n v="0"/>
  </r>
  <r>
    <x v="7"/>
    <x v="3"/>
    <s v="131 - Comunicação social"/>
    <x v="0"/>
    <n v="28646.52"/>
    <n v="28646.52"/>
    <n v="0"/>
  </r>
  <r>
    <x v="7"/>
    <x v="21"/>
    <s v="301 - Atenção básica"/>
    <x v="0"/>
    <n v="0"/>
    <n v="0"/>
    <n v="4846.75"/>
  </r>
  <r>
    <x v="7"/>
    <x v="14"/>
    <s v="131 - Comunicação social"/>
    <x v="1706"/>
    <n v="0"/>
    <n v="0"/>
    <n v="0"/>
  </r>
  <r>
    <x v="7"/>
    <x v="18"/>
    <s v="572 - Desenvolvimento tecnológico e engenharia"/>
    <x v="1707"/>
    <n v="146889953.30000001"/>
    <n v="146889953.30000001"/>
    <n v="0"/>
  </r>
  <r>
    <x v="7"/>
    <x v="4"/>
    <s v="130 - Administração de concessões"/>
    <x v="1708"/>
    <n v="260038.29"/>
    <n v="401286.73"/>
    <n v="39764"/>
  </r>
  <r>
    <x v="7"/>
    <x v="18"/>
    <s v="846 - Outros encargos especiais"/>
    <x v="0"/>
    <n v="5261.7"/>
    <n v="5261.7"/>
    <n v="0"/>
  </r>
  <r>
    <x v="7"/>
    <x v="3"/>
    <s v="125 - Normatização e fiscalização"/>
    <x v="0"/>
    <n v="35041.919999999998"/>
    <n v="35041.919999999998"/>
    <n v="0"/>
  </r>
  <r>
    <x v="7"/>
    <x v="3"/>
    <s v="542 - Controle ambiental"/>
    <x v="1709"/>
    <n v="15249.8"/>
    <n v="255.66"/>
    <n v="693940"/>
  </r>
  <r>
    <x v="7"/>
    <x v="21"/>
    <s v="571 - Desenvolvimento científico"/>
    <x v="0"/>
    <n v="8000000"/>
    <n v="8000000"/>
    <n v="0"/>
  </r>
  <r>
    <x v="7"/>
    <x v="5"/>
    <s v="541 - Preservação e conservação ambiental"/>
    <x v="1710"/>
    <n v="0"/>
    <n v="0"/>
    <n v="2860"/>
  </r>
  <r>
    <x v="7"/>
    <x v="9"/>
    <s v="062 - Defesa do interesse público no processo judiciário"/>
    <x v="0"/>
    <n v="25938.97"/>
    <n v="32808.720000000001"/>
    <n v="0"/>
  </r>
  <r>
    <x v="7"/>
    <x v="15"/>
    <s v="122 - Administração geral"/>
    <x v="1711"/>
    <n v="4139.08"/>
    <n v="6674.08"/>
    <n v="12313.87"/>
  </r>
  <r>
    <x v="7"/>
    <x v="3"/>
    <s v="301 - Atenção básica"/>
    <x v="0"/>
    <n v="0"/>
    <n v="0"/>
    <n v="3365.91"/>
  </r>
  <r>
    <x v="7"/>
    <x v="3"/>
    <s v="128 - Formação de recursos humanos"/>
    <x v="0"/>
    <n v="18767"/>
    <n v="0"/>
    <n v="0"/>
  </r>
  <r>
    <x v="7"/>
    <x v="18"/>
    <s v="131 - Comunicação social"/>
    <x v="1712"/>
    <n v="-7856378.7400000002"/>
    <n v="-4905209.32"/>
    <n v="13169385"/>
  </r>
  <r>
    <x v="7"/>
    <x v="1"/>
    <s v="846 - Outros encargos especiais"/>
    <x v="1713"/>
    <n v="128698.54"/>
    <n v="116664.34"/>
    <n v="16046.64"/>
  </r>
  <r>
    <x v="7"/>
    <x v="20"/>
    <s v="846 - Outros encargos especiais"/>
    <x v="1714"/>
    <n v="23687.27"/>
    <n v="23687.27"/>
    <n v="0"/>
  </r>
  <r>
    <x v="7"/>
    <x v="17"/>
    <s v="451 - infra-estrutura urbana"/>
    <x v="1235"/>
    <n v="0"/>
    <n v="0"/>
    <n v="178529.38"/>
  </r>
  <r>
    <x v="7"/>
    <x v="21"/>
    <s v="813 - Lazer"/>
    <x v="0"/>
    <n v="0"/>
    <n v="0"/>
    <n v="156536.01999999999"/>
  </r>
  <r>
    <x v="7"/>
    <x v="14"/>
    <s v="331 - Proteção e benefícios ao trabalhador"/>
    <x v="1715"/>
    <n v="317639.45"/>
    <n v="3161288.18"/>
    <n v="0"/>
  </r>
  <r>
    <x v="7"/>
    <x v="1"/>
    <s v="422 - Direitos individuais, coletivos e difusos"/>
    <x v="1716"/>
    <n v="1155292.81"/>
    <n v="1155292.81"/>
    <n v="95459.12"/>
  </r>
  <r>
    <x v="7"/>
    <x v="23"/>
    <s v="846 - Outros encargos especiais"/>
    <x v="1717"/>
    <n v="170307.19"/>
    <n v="221704.9"/>
    <n v="0"/>
  </r>
  <r>
    <x v="7"/>
    <x v="7"/>
    <s v="541 - Preservação e conservação ambiental"/>
    <x v="0"/>
    <n v="0"/>
    <n v="0"/>
    <n v="4500"/>
  </r>
  <r>
    <x v="7"/>
    <x v="21"/>
    <s v="846 - Outros encargos especiais"/>
    <x v="0"/>
    <n v="-132532.03"/>
    <n v="-132532.03"/>
    <n v="0"/>
  </r>
  <r>
    <x v="7"/>
    <x v="4"/>
    <s v="121 - Planejamento e orçamento"/>
    <x v="1718"/>
    <n v="298811.81"/>
    <n v="272412.74"/>
    <n v="0"/>
  </r>
  <r>
    <x v="7"/>
    <x v="12"/>
    <s v="662 - Produção industrial"/>
    <x v="1719"/>
    <n v="4264423.09"/>
    <n v="4275450.51"/>
    <n v="6706441.8399999999"/>
  </r>
  <r>
    <x v="7"/>
    <x v="22"/>
    <s v="334 - Fomento ao trabalho"/>
    <x v="1720"/>
    <n v="1312948679.8699999"/>
    <n v="1312946203.03"/>
    <n v="18961.28"/>
  </r>
  <r>
    <x v="7"/>
    <x v="19"/>
    <s v="482 - Habitação urbana"/>
    <x v="0"/>
    <n v="0"/>
    <n v="0"/>
    <n v="582.96"/>
  </r>
  <r>
    <x v="7"/>
    <x v="19"/>
    <s v="131 - Comunicação social"/>
    <x v="0"/>
    <n v="0"/>
    <n v="0"/>
    <n v="841.6"/>
  </r>
  <r>
    <x v="7"/>
    <x v="14"/>
    <s v="243 - Assistência à criança e ao adolescente"/>
    <x v="0"/>
    <n v="0"/>
    <n v="0"/>
    <n v="3578440"/>
  </r>
  <r>
    <x v="7"/>
    <x v="16"/>
    <s v="664 - Propriedade industrial"/>
    <x v="1721"/>
    <n v="452120.35"/>
    <n v="460954.42"/>
    <n v="0"/>
  </r>
  <r>
    <x v="7"/>
    <x v="7"/>
    <s v="391 - Patrimônio histórico, artístico e arqueológico"/>
    <x v="1722"/>
    <n v="943513.25"/>
    <n v="1166186.77"/>
    <n v="516367.12"/>
  </r>
  <r>
    <x v="7"/>
    <x v="26"/>
    <s v="126 - Tecnologia da informação"/>
    <x v="1723"/>
    <n v="14819271.32"/>
    <n v="15295663.310000001"/>
    <n v="1183185.9099999999"/>
  </r>
  <r>
    <x v="7"/>
    <x v="10"/>
    <s v="845 - Outras transferências"/>
    <x v="0"/>
    <n v="-21826.68"/>
    <n v="267334429.78"/>
    <n v="8334.9699999999993"/>
  </r>
  <r>
    <x v="7"/>
    <x v="9"/>
    <s v="122 - Administração geral"/>
    <x v="1724"/>
    <n v="444933.3"/>
    <n v="446095.55"/>
    <n v="0"/>
  </r>
  <r>
    <x v="7"/>
    <x v="10"/>
    <s v="846 - Outros encargos especiais"/>
    <x v="1725"/>
    <n v="152156.29999999999"/>
    <n v="17428.3"/>
    <n v="0"/>
  </r>
  <r>
    <x v="7"/>
    <x v="23"/>
    <s v="571 - Desenvolvimento científico"/>
    <x v="1726"/>
    <n v="212206.59"/>
    <n v="47172.53"/>
    <n v="10750"/>
  </r>
  <r>
    <x v="7"/>
    <x v="16"/>
    <s v="571 - Desenvolvimento científico"/>
    <x v="0"/>
    <n v="7995395.9699999997"/>
    <n v="0"/>
    <n v="0"/>
  </r>
  <r>
    <x v="7"/>
    <x v="16"/>
    <s v="301 - Atenção básica"/>
    <x v="0"/>
    <n v="0"/>
    <n v="0"/>
    <n v="3060.7"/>
  </r>
  <r>
    <x v="7"/>
    <x v="10"/>
    <s v="092 - Representação judicial e extrajudicial"/>
    <x v="0"/>
    <n v="5732869.6100000003"/>
    <n v="6047559.79"/>
    <n v="0"/>
  </r>
  <r>
    <x v="7"/>
    <x v="2"/>
    <s v="128 - Formação de recursos humanos"/>
    <x v="1727"/>
    <n v="595656.36"/>
    <n v="678843.88"/>
    <n v="0"/>
  </r>
  <r>
    <x v="7"/>
    <x v="11"/>
    <s v="841 - Refinanciamento da dívida interna"/>
    <x v="0"/>
    <n v="3049254265.0999999"/>
    <n v="3049254265.0999999"/>
    <n v="0"/>
  </r>
  <r>
    <x v="7"/>
    <x v="6"/>
    <s v="122 - Administração geral"/>
    <x v="0"/>
    <n v="7778.2"/>
    <n v="7778.2"/>
    <n v="625839.89"/>
  </r>
  <r>
    <x v="7"/>
    <x v="5"/>
    <s v="606 - Extensão rural"/>
    <x v="0"/>
    <n v="0"/>
    <n v="0"/>
    <n v="2103771.52"/>
  </r>
  <r>
    <x v="7"/>
    <x v="19"/>
    <s v="128 - Formação de recursos humanos"/>
    <x v="1728"/>
    <n v="50739.92"/>
    <n v="56511.89"/>
    <n v="44700.37"/>
  </r>
  <r>
    <x v="7"/>
    <x v="3"/>
    <s v="121 - Planejamento e orçamento"/>
    <x v="711"/>
    <n v="1041290.47"/>
    <n v="931290.47"/>
    <n v="24780"/>
  </r>
  <r>
    <x v="7"/>
    <x v="4"/>
    <s v="665 - Normalização e qualidade"/>
    <x v="1729"/>
    <n v="1691109.12"/>
    <n v="1490521.03"/>
    <n v="0"/>
  </r>
  <r>
    <x v="7"/>
    <x v="0"/>
    <s v="694 - Serviços financeiros"/>
    <x v="0"/>
    <n v="159296734.06999999"/>
    <n v="159201501.97999999"/>
    <n v="17812.37"/>
  </r>
  <r>
    <x v="7"/>
    <x v="2"/>
    <s v="691 - Promoção comercial"/>
    <x v="1730"/>
    <n v="416068.12"/>
    <n v="416068.12"/>
    <n v="714.73"/>
  </r>
  <r>
    <x v="7"/>
    <x v="4"/>
    <s v="128 - Formação de recursos humanos"/>
    <x v="1731"/>
    <n v="237542.63"/>
    <n v="354676.71"/>
    <n v="41968.4"/>
  </r>
  <r>
    <x v="7"/>
    <x v="0"/>
    <s v="131 - Comunicação social"/>
    <x v="1732"/>
    <n v="4448565.2300000004"/>
    <n v="1411884.33"/>
    <n v="23758.959999999999"/>
  </r>
  <r>
    <x v="7"/>
    <x v="24"/>
    <s v="032 - Controle externo"/>
    <x v="0"/>
    <n v="39306.879999999997"/>
    <n v="64543.01"/>
    <n v="0"/>
  </r>
  <r>
    <x v="7"/>
    <x v="26"/>
    <s v="130 - Administração de concessões"/>
    <x v="857"/>
    <n v="14989.65"/>
    <n v="14989.65"/>
    <n v="0"/>
  </r>
  <r>
    <x v="7"/>
    <x v="16"/>
    <s v="661 - Promoção industrial"/>
    <x v="56"/>
    <n v="79107.16"/>
    <n v="12898.5"/>
    <n v="139657.92000000001"/>
  </r>
  <r>
    <x v="7"/>
    <x v="20"/>
    <s v="812 - Desporto comunitário"/>
    <x v="1733"/>
    <n v="12544.85"/>
    <n v="5600"/>
    <n v="96219.02"/>
  </r>
  <r>
    <x v="7"/>
    <x v="3"/>
    <s v="846 - Outros encargos especiais"/>
    <x v="296"/>
    <n v="18726.849999999999"/>
    <n v="106367.32"/>
    <n v="0"/>
  </r>
  <r>
    <x v="7"/>
    <x v="3"/>
    <s v="212 - Cooperação internacional"/>
    <x v="1734"/>
    <n v="1911146.49"/>
    <n v="1911146.49"/>
    <n v="57460"/>
  </r>
  <r>
    <x v="7"/>
    <x v="18"/>
    <s v="422 - Direitos individuais, coletivos e difusos"/>
    <x v="1735"/>
    <n v="579701.67000000004"/>
    <n v="566460.22"/>
    <n v="0"/>
  </r>
  <r>
    <x v="7"/>
    <x v="3"/>
    <s v="691 - Promoção comercial"/>
    <x v="0"/>
    <n v="0"/>
    <n v="0"/>
    <n v="1911708.66"/>
  </r>
  <r>
    <x v="7"/>
    <x v="22"/>
    <s v="571 - Desenvolvimento científico"/>
    <x v="1736"/>
    <n v="9846640.6400000006"/>
    <n v="9993144.2200000007"/>
    <n v="90002.17"/>
  </r>
  <r>
    <x v="7"/>
    <x v="5"/>
    <s v="301 - Atenção básica"/>
    <x v="0"/>
    <n v="0"/>
    <n v="0"/>
    <n v="8228135.7199999997"/>
  </r>
  <r>
    <x v="7"/>
    <x v="16"/>
    <s v="846 - Outros encargos especiais"/>
    <x v="0"/>
    <n v="3508.88"/>
    <n v="62121.66"/>
    <n v="0"/>
  </r>
  <r>
    <x v="7"/>
    <x v="20"/>
    <s v="183 - Informação e inteligência"/>
    <x v="1737"/>
    <n v="795099.47"/>
    <n v="877950.9"/>
    <n v="31950.71"/>
  </r>
  <r>
    <x v="7"/>
    <x v="7"/>
    <s v="121 - Planejamento e orçamento"/>
    <x v="1738"/>
    <n v="65482.79"/>
    <n v="1660905.98"/>
    <n v="3865.28"/>
  </r>
  <r>
    <x v="7"/>
    <x v="14"/>
    <s v="301 - Atenção básica"/>
    <x v="0"/>
    <n v="0"/>
    <n v="0"/>
    <n v="0"/>
  </r>
  <r>
    <x v="7"/>
    <x v="9"/>
    <s v="331 - Proteção e benefícios ao trabalhador"/>
    <x v="0"/>
    <n v="2752301.47"/>
    <n v="17033833.129999999"/>
    <n v="0"/>
  </r>
  <r>
    <x v="7"/>
    <x v="15"/>
    <s v="061 - Ação judiciária"/>
    <x v="1739"/>
    <n v="211991.43"/>
    <n v="284265.24"/>
    <n v="22903.53"/>
  </r>
  <r>
    <x v="7"/>
    <x v="19"/>
    <s v="301 - Atenção básica"/>
    <x v="0"/>
    <n v="0"/>
    <n v="0"/>
    <n v="7027.97"/>
  </r>
  <r>
    <x v="7"/>
    <x v="11"/>
    <s v="843 - Serviço da dívida interna"/>
    <x v="1740"/>
    <n v="43502989965.089996"/>
    <n v="43501499478.290001"/>
    <n v="0"/>
  </r>
  <r>
    <x v="7"/>
    <x v="4"/>
    <s v="331 - Proteção e benefícios ao trabalhador"/>
    <x v="0"/>
    <n v="662432.85"/>
    <n v="4757932.93"/>
    <n v="0"/>
  </r>
  <r>
    <x v="7"/>
    <x v="6"/>
    <s v="693 - Comércio exterior"/>
    <x v="1741"/>
    <n v="3461743.55"/>
    <n v="3331584.42"/>
    <n v="0"/>
  </r>
  <r>
    <x v="7"/>
    <x v="10"/>
    <s v="128 - Formação de recursos humanos"/>
    <x v="1742"/>
    <n v="40557.599999999999"/>
    <n v="37690.239999999998"/>
    <n v="0"/>
  </r>
  <r>
    <x v="7"/>
    <x v="20"/>
    <s v="722 - Telecomunicações"/>
    <x v="1743"/>
    <n v="227035.5"/>
    <n v="208101.04"/>
    <n v="1155251.79"/>
  </r>
  <r>
    <x v="7"/>
    <x v="15"/>
    <s v="032 - Controle externo"/>
    <x v="0"/>
    <n v="0"/>
    <n v="149520.04"/>
    <n v="19283.150000000001"/>
  </r>
  <r>
    <x v="7"/>
    <x v="21"/>
    <s v="128 - Formação de recursos humanos"/>
    <x v="1744"/>
    <n v="51153.63"/>
    <n v="56694.58"/>
    <n v="0"/>
  </r>
  <r>
    <x v="7"/>
    <x v="5"/>
    <s v="331 - Proteção e benefícios ao trabalhador"/>
    <x v="0"/>
    <n v="14816194.5"/>
    <n v="20977117.34"/>
    <n v="0"/>
  </r>
  <r>
    <x v="7"/>
    <x v="12"/>
    <s v="391 - Patrimônio histórico, artístico e arqueológico"/>
    <x v="1745"/>
    <n v="2178889.62"/>
    <n v="2190846.5099999998"/>
    <n v="36023.33"/>
  </r>
  <r>
    <x v="7"/>
    <x v="10"/>
    <s v="331 - Proteção e benefícios ao trabalhador"/>
    <x v="1746"/>
    <n v="5240108.28"/>
    <n v="43365270.329999998"/>
    <n v="0"/>
  </r>
  <r>
    <x v="7"/>
    <x v="19"/>
    <s v="846 - Outros encargos especiais"/>
    <x v="0"/>
    <n v="0"/>
    <n v="527"/>
    <n v="0"/>
  </r>
  <r>
    <x v="7"/>
    <x v="27"/>
    <s v="811 - Desporto de rendimento"/>
    <x v="1747"/>
    <n v="17318968.34"/>
    <n v="17715099.510000002"/>
    <n v="2914382.37"/>
  </r>
  <r>
    <x v="7"/>
    <x v="23"/>
    <s v="128 - Formação de recursos humanos"/>
    <x v="1748"/>
    <n v="177454.62"/>
    <n v="183576.87"/>
    <n v="8730"/>
  </r>
  <r>
    <x v="7"/>
    <x v="14"/>
    <s v="846 - Outros encargos especiais"/>
    <x v="0"/>
    <n v="151215.6"/>
    <n v="151215.6"/>
    <n v="0"/>
  </r>
  <r>
    <x v="7"/>
    <x v="12"/>
    <s v="123 - Administração financeira"/>
    <x v="1749"/>
    <n v="519383.1"/>
    <n v="499509.46"/>
    <n v="11940.28"/>
  </r>
  <r>
    <x v="7"/>
    <x v="22"/>
    <s v="846 - Outros encargos especiais"/>
    <x v="0"/>
    <n v="92672.63"/>
    <n v="105967.03"/>
    <n v="0"/>
  </r>
  <r>
    <x v="7"/>
    <x v="13"/>
    <s v="125 - Normatização e fiscalização"/>
    <x v="1750"/>
    <n v="179052.33"/>
    <n v="196342.83"/>
    <n v="220.36"/>
  </r>
  <r>
    <x v="7"/>
    <x v="23"/>
    <s v="573 - Difusão do conhecimento científico e tecnológico"/>
    <x v="1751"/>
    <n v="89026.77"/>
    <n v="104124.52"/>
    <n v="800000"/>
  </r>
  <r>
    <x v="7"/>
    <x v="11"/>
    <s v="847 - Transferências para a educação básica"/>
    <x v="0"/>
    <n v="4906323989.3999996"/>
    <n v="4906323989.3999996"/>
    <n v="0"/>
  </r>
  <r>
    <x v="7"/>
    <x v="7"/>
    <s v="124 - Controle interno"/>
    <x v="1"/>
    <n v="98184.09"/>
    <n v="848729.57"/>
    <n v="0"/>
  </r>
  <r>
    <x v="7"/>
    <x v="18"/>
    <s v="126 - Tecnologia da informação"/>
    <x v="1752"/>
    <n v="12977694.789999999"/>
    <n v="12977694.789999999"/>
    <n v="365912.14"/>
  </r>
  <r>
    <x v="7"/>
    <x v="12"/>
    <s v="846 - Outros encargos especiais"/>
    <x v="1753"/>
    <n v="1158818.32"/>
    <n v="29630751"/>
    <n v="103135.67999999999"/>
  </r>
  <r>
    <x v="7"/>
    <x v="12"/>
    <s v="573 - Difusão do conhecimento científico e tecnológico"/>
    <x v="1754"/>
    <n v="353840.82"/>
    <n v="310187.40999999997"/>
    <n v="29500"/>
  </r>
  <r>
    <x v="7"/>
    <x v="12"/>
    <s v="126 - Tecnologia da informação"/>
    <x v="1755"/>
    <n v="142451726"/>
    <n v="136384680.25"/>
    <n v="13318113.949999999"/>
  </r>
  <r>
    <x v="7"/>
    <x v="20"/>
    <s v="366 - Educação de jovens e adultos"/>
    <x v="1756"/>
    <n v="98445.24"/>
    <n v="150071.64000000001"/>
    <n v="19310.09"/>
  </r>
  <r>
    <x v="7"/>
    <x v="8"/>
    <s v="422 - Direitos individuais, coletivos e difusos"/>
    <x v="1757"/>
    <n v="59120.65"/>
    <n v="63281.42"/>
    <n v="0"/>
  </r>
  <r>
    <x v="7"/>
    <x v="1"/>
    <s v="331 - Proteção e benefícios ao trabalhador"/>
    <x v="1758"/>
    <n v="619831.05000000005"/>
    <n v="63774998.640000001"/>
    <n v="0"/>
  </r>
  <r>
    <x v="7"/>
    <x v="23"/>
    <s v="543 - Recuperação de áreas degradadas"/>
    <x v="1759"/>
    <n v="755093.03"/>
    <n v="836160.33"/>
    <n v="0"/>
  </r>
  <r>
    <x v="7"/>
    <x v="20"/>
    <s v="811 - Desporto de rendimento"/>
    <x v="1760"/>
    <n v="477949.06"/>
    <n v="456022"/>
    <n v="13586.24"/>
  </r>
  <r>
    <x v="7"/>
    <x v="11"/>
    <s v="844 - Serviço da dívida externa"/>
    <x v="1761"/>
    <n v="887728154.62"/>
    <n v="887728154.62"/>
    <n v="0"/>
  </r>
  <r>
    <x v="7"/>
    <x v="0"/>
    <s v="123 - Administração financeira"/>
    <x v="0"/>
    <n v="43300367.810000002"/>
    <n v="24600254.390000001"/>
    <n v="0"/>
  </r>
  <r>
    <x v="7"/>
    <x v="18"/>
    <s v="331 - Proteção e benefícios ao trabalhador"/>
    <x v="1762"/>
    <n v="141411.14000000001"/>
    <n v="4059776.52"/>
    <n v="0"/>
  </r>
  <r>
    <x v="7"/>
    <x v="22"/>
    <s v="331 - Proteção e benefícios ao trabalhador"/>
    <x v="1763"/>
    <n v="2826562720.2800002"/>
    <n v="2843350480.52"/>
    <n v="1414600"/>
  </r>
  <r>
    <x v="7"/>
    <x v="10"/>
    <s v="126 - Tecnologia da informação"/>
    <x v="1764"/>
    <n v="28392603.800000001"/>
    <n v="28392603.800000001"/>
    <n v="0"/>
  </r>
  <r>
    <x v="7"/>
    <x v="13"/>
    <s v="241 - Assistência ao idoso"/>
    <x v="1765"/>
    <n v="401727379.30000001"/>
    <n v="2978581719.5799999"/>
    <n v="0"/>
  </r>
  <r>
    <x v="7"/>
    <x v="3"/>
    <s v="126 - Tecnologia da informação"/>
    <x v="0"/>
    <n v="0"/>
    <n v="0"/>
    <n v="0"/>
  </r>
  <r>
    <x v="7"/>
    <x v="0"/>
    <s v="847 - Transferências para a educação básica"/>
    <x v="1766"/>
    <n v="14562315"/>
    <n v="14562315"/>
    <n v="4843372.76"/>
  </r>
  <r>
    <x v="7"/>
    <x v="7"/>
    <s v="573 - Difusão do conhecimento científico e tecnológico"/>
    <x v="1767"/>
    <n v="2493768.4900000002"/>
    <n v="4864238.5199999996"/>
    <n v="425075.27"/>
  </r>
  <r>
    <x v="7"/>
    <x v="7"/>
    <s v="126 - Tecnologia da informação"/>
    <x v="1768"/>
    <n v="28932231.050000001"/>
    <n v="21821125.09"/>
    <n v="7523991.5999999996"/>
  </r>
  <r>
    <x v="7"/>
    <x v="22"/>
    <s v="333 - Empregabilidade"/>
    <x v="0"/>
    <n v="2733137.08"/>
    <n v="2733137.08"/>
    <n v="281050.53000000003"/>
  </r>
  <r>
    <x v="7"/>
    <x v="21"/>
    <s v="392 - Difusão cultural"/>
    <x v="1769"/>
    <n v="5499206.5"/>
    <n v="11571327.34"/>
    <n v="5041199.87"/>
  </r>
  <r>
    <x v="7"/>
    <x v="7"/>
    <s v="125 - Normatização e fiscalização"/>
    <x v="1770"/>
    <n v="1533544.67"/>
    <n v="1846616.49"/>
    <n v="472134.94"/>
  </r>
  <r>
    <x v="7"/>
    <x v="20"/>
    <s v="364 - Ensino superior"/>
    <x v="1771"/>
    <n v="838377.79"/>
    <n v="1228352.08"/>
    <n v="1043561.4"/>
  </r>
  <r>
    <x v="7"/>
    <x v="10"/>
    <s v="125 - Normatização e fiscalização"/>
    <x v="1772"/>
    <n v="46611.74"/>
    <n v="211099.75"/>
    <n v="0"/>
  </r>
  <r>
    <x v="7"/>
    <x v="21"/>
    <s v="331 - Proteção e benefícios ao trabalhador"/>
    <x v="1773"/>
    <n v="109720.84"/>
    <n v="5810237.4100000001"/>
    <n v="0"/>
  </r>
  <r>
    <x v="7"/>
    <x v="26"/>
    <s v="121 - Planejamento e orçamento"/>
    <x v="1774"/>
    <n v="3232317.78"/>
    <n v="3247629.91"/>
    <n v="7360071.29"/>
  </r>
  <r>
    <x v="7"/>
    <x v="26"/>
    <s v="331 - Proteção e benefícios ao trabalhador"/>
    <x v="1775"/>
    <n v="949193.4"/>
    <n v="14472107.210000001"/>
    <n v="0"/>
  </r>
  <r>
    <x v="7"/>
    <x v="0"/>
    <s v="846 - Outros encargos especiais"/>
    <x v="1776"/>
    <n v="7955017.2699999996"/>
    <n v="15749532.380000001"/>
    <n v="0"/>
  </r>
  <r>
    <x v="7"/>
    <x v="5"/>
    <s v="605 - Abastecimento"/>
    <x v="1777"/>
    <n v="209551500.00999999"/>
    <n v="204578825.78999999"/>
    <n v="36305468.32"/>
  </r>
  <r>
    <x v="7"/>
    <x v="0"/>
    <s v="366 - Educação de jovens e adultos"/>
    <x v="1778"/>
    <n v="2107460.04"/>
    <n v="213443.05"/>
    <n v="271862.99"/>
  </r>
  <r>
    <x v="7"/>
    <x v="7"/>
    <s v="572 - Desenvolvimento tecnológico e engenharia"/>
    <x v="1779"/>
    <n v="4156627"/>
    <n v="138164.98000000001"/>
    <n v="1139489.44"/>
  </r>
  <r>
    <x v="7"/>
    <x v="8"/>
    <s v="606 - Extensão rural"/>
    <x v="1780"/>
    <n v="60216.12"/>
    <n v="54451.11"/>
    <n v="273861.82"/>
  </r>
  <r>
    <x v="7"/>
    <x v="13"/>
    <s v="122 - Administração geral"/>
    <x v="1781"/>
    <n v="13515482.199999999"/>
    <n v="10592521.85"/>
    <n v="87808.39"/>
  </r>
  <r>
    <x v="7"/>
    <x v="9"/>
    <s v="126 - Tecnologia da informação"/>
    <x v="0"/>
    <n v="0"/>
    <n v="0"/>
    <n v="20869350.550000001"/>
  </r>
  <r>
    <x v="7"/>
    <x v="0"/>
    <s v="573 - Difusão do conhecimento científico e tecnológico"/>
    <x v="1782"/>
    <n v="54191738"/>
    <n v="53977414.789999999"/>
    <n v="236801.35"/>
  </r>
  <r>
    <x v="7"/>
    <x v="12"/>
    <s v="092 - Representação judicial e extrajudicial"/>
    <x v="1783"/>
    <n v="24820325.690000001"/>
    <n v="25939646.18"/>
    <n v="3536420.67"/>
  </r>
  <r>
    <x v="7"/>
    <x v="12"/>
    <s v="125 - Normatização e fiscalização"/>
    <x v="1784"/>
    <n v="18512891.77"/>
    <n v="22121310.48"/>
    <n v="17998041.489999998"/>
  </r>
  <r>
    <x v="7"/>
    <x v="4"/>
    <s v="752 - Energia elétrica"/>
    <x v="1785"/>
    <n v="2895487.25"/>
    <n v="2892947.62"/>
    <n v="342705.69"/>
  </r>
  <r>
    <x v="7"/>
    <x v="12"/>
    <s v="364 - Ensino superior"/>
    <x v="1786"/>
    <n v="45226.18"/>
    <n v="52837.41"/>
    <n v="0"/>
  </r>
  <r>
    <x v="7"/>
    <x v="20"/>
    <s v="573 - Difusão do conhecimento científico e tecnológico"/>
    <x v="1787"/>
    <n v="146986.97"/>
    <n v="149499.44"/>
    <n v="5997.06"/>
  </r>
  <r>
    <x v="7"/>
    <x v="10"/>
    <s v="665 - Normalização e qualidade"/>
    <x v="0"/>
    <n v="0"/>
    <n v="0"/>
    <n v="18940"/>
  </r>
  <r>
    <x v="7"/>
    <x v="21"/>
    <s v="391 - Patrimônio histórico, artístico e arqueológico"/>
    <x v="1788"/>
    <n v="6952692.4400000004"/>
    <n v="6093998.3399999999"/>
    <n v="1945602.3"/>
  </r>
  <r>
    <x v="7"/>
    <x v="20"/>
    <s v="121 - Planejamento e orçamento"/>
    <x v="1789"/>
    <n v="39766.29"/>
    <n v="23829.95"/>
    <n v="686.73"/>
  </r>
  <r>
    <x v="7"/>
    <x v="26"/>
    <s v="784 - Transporte hidroviário"/>
    <x v="1790"/>
    <n v="154009506.06999999"/>
    <n v="152634120.19999999"/>
    <n v="2129136.9500000002"/>
  </r>
  <r>
    <x v="7"/>
    <x v="19"/>
    <s v="122 - Administração geral"/>
    <x v="1791"/>
    <n v="15263908.550000001"/>
    <n v="83960347.489999995"/>
    <n v="7197.25"/>
  </r>
  <r>
    <x v="7"/>
    <x v="5"/>
    <s v="545 - Meteorologia"/>
    <x v="1792"/>
    <n v="1841025.42"/>
    <n v="2279792.4700000002"/>
    <n v="16996.2"/>
  </r>
  <r>
    <x v="7"/>
    <x v="13"/>
    <s v="242 - Assistência ao portador de deficiência"/>
    <x v="1793"/>
    <n v="558702958.11000001"/>
    <n v="3597359200.54"/>
    <n v="0"/>
  </r>
  <r>
    <x v="7"/>
    <x v="20"/>
    <s v="244 - Assistência comunitária"/>
    <x v="1794"/>
    <n v="2973547.93"/>
    <n v="4165280.15"/>
    <n v="66701200.939999998"/>
  </r>
  <r>
    <x v="7"/>
    <x v="20"/>
    <s v="423 - Assistência aos povos indígenas"/>
    <x v="1795"/>
    <n v="8847952.1300000008"/>
    <n v="14700181.48"/>
    <n v="0"/>
  </r>
  <r>
    <x v="7"/>
    <x v="20"/>
    <s v="303 - Suporte profilático e terapêutico"/>
    <x v="1796"/>
    <n v="188148.58"/>
    <n v="140599.29"/>
    <n v="0"/>
  </r>
  <r>
    <x v="7"/>
    <x v="12"/>
    <s v="722 - Telecomunicações"/>
    <x v="1797"/>
    <n v="7026102.0499999998"/>
    <n v="10735234.439999999"/>
    <n v="0"/>
  </r>
  <r>
    <x v="7"/>
    <x v="5"/>
    <s v="609 - Defesa agropecuária"/>
    <x v="1798"/>
    <n v="1716560.7"/>
    <n v="1764943.21"/>
    <n v="1102188.26"/>
  </r>
  <r>
    <x v="7"/>
    <x v="19"/>
    <s v="331 - Proteção e benefícios ao trabalhador"/>
    <x v="1799"/>
    <n v="1989130.58"/>
    <n v="10437761.75"/>
    <n v="0"/>
  </r>
  <r>
    <x v="7"/>
    <x v="18"/>
    <s v="722 - Telecomunicações"/>
    <x v="1800"/>
    <n v="19600219.859999999"/>
    <n v="14177505.310000001"/>
    <n v="1536364.58"/>
  </r>
  <r>
    <x v="7"/>
    <x v="26"/>
    <s v="125 - Normatização e fiscalização"/>
    <x v="1801"/>
    <n v="10634761.41"/>
    <n v="9419214.0099999998"/>
    <n v="244436.3"/>
  </r>
  <r>
    <x v="7"/>
    <x v="23"/>
    <s v="512 - Saneamento básico urbano"/>
    <x v="1802"/>
    <n v="48213.48"/>
    <n v="48213.48"/>
    <n v="0"/>
  </r>
  <r>
    <x v="7"/>
    <x v="0"/>
    <s v="301 - Atenção básica"/>
    <x v="0"/>
    <n v="0"/>
    <n v="0"/>
    <n v="88214.18"/>
  </r>
  <r>
    <x v="7"/>
    <x v="19"/>
    <s v="453 - Transportes coletivos urbanos"/>
    <x v="1803"/>
    <n v="19749392.030000001"/>
    <n v="19732936.629999999"/>
    <n v="7675447.8600000003"/>
  </r>
  <r>
    <x v="7"/>
    <x v="16"/>
    <s v="182 - Defesa civil"/>
    <x v="1804"/>
    <n v="408566.79"/>
    <n v="459287.69"/>
    <n v="0"/>
  </r>
  <r>
    <x v="7"/>
    <x v="16"/>
    <s v="665 - Normalização e qualidade"/>
    <x v="1805"/>
    <n v="458553.03"/>
    <n v="463719.06"/>
    <n v="0"/>
  </r>
  <r>
    <x v="7"/>
    <x v="16"/>
    <s v="125 - Normatização e fiscalização"/>
    <x v="1806"/>
    <n v="41399088.869999997"/>
    <n v="41395417.969999999"/>
    <n v="0"/>
  </r>
  <r>
    <x v="7"/>
    <x v="22"/>
    <s v="125 - Normatização e fiscalização"/>
    <x v="1807"/>
    <n v="1967507.9"/>
    <n v="2125943.9500000002"/>
    <n v="20961.39"/>
  </r>
  <r>
    <x v="7"/>
    <x v="10"/>
    <s v="124 - Controle interno"/>
    <x v="1808"/>
    <n v="611929.9"/>
    <n v="620178.4"/>
    <n v="0"/>
  </r>
  <r>
    <x v="7"/>
    <x v="20"/>
    <s v="302 - Assistência hospitalar e ambulatorial"/>
    <x v="1809"/>
    <n v="3068998.47"/>
    <n v="3586866.45"/>
    <n v="303271.42"/>
  </r>
  <r>
    <x v="7"/>
    <x v="23"/>
    <s v="122 - Administração geral"/>
    <x v="1810"/>
    <n v="25845322.59"/>
    <n v="129213443.36"/>
    <n v="2331918.85"/>
  </r>
  <r>
    <x v="7"/>
    <x v="16"/>
    <s v="128 - Formação de recursos humanos"/>
    <x v="1811"/>
    <n v="195484.83"/>
    <n v="279376.81"/>
    <n v="0"/>
  </r>
  <r>
    <x v="7"/>
    <x v="12"/>
    <s v="331 - Proteção e benefícios ao trabalhador"/>
    <x v="1812"/>
    <n v="8851491.4100000001"/>
    <n v="164196430.50999999"/>
    <n v="0"/>
  </r>
  <r>
    <x v="7"/>
    <x v="26"/>
    <s v="781 - Transporte aéreo"/>
    <x v="1813"/>
    <n v="1598812.57"/>
    <n v="1024064.29"/>
    <n v="4877048.16"/>
  </r>
  <r>
    <x v="7"/>
    <x v="6"/>
    <s v="691 - Promoção comercial"/>
    <x v="1814"/>
    <n v="1261.92"/>
    <n v="281.83"/>
    <n v="0"/>
  </r>
  <r>
    <x v="7"/>
    <x v="1"/>
    <s v="421 - Custódia e reintegração social"/>
    <x v="1815"/>
    <n v="6947801.9299999997"/>
    <n v="7279674.5499999998"/>
    <n v="22537947.420000002"/>
  </r>
  <r>
    <x v="7"/>
    <x v="18"/>
    <s v="122 - Administração geral"/>
    <x v="1816"/>
    <n v="14929219.609999999"/>
    <n v="76031955.170000002"/>
    <n v="370784.71"/>
  </r>
  <r>
    <x v="7"/>
    <x v="8"/>
    <s v="846 - Outros encargos especiais"/>
    <x v="0"/>
    <n v="4603.18"/>
    <n v="4603.18"/>
    <n v="0"/>
  </r>
  <r>
    <x v="7"/>
    <x v="12"/>
    <s v="422 - Direitos individuais, coletivos e difusos"/>
    <x v="1817"/>
    <n v="370871.78"/>
    <n v="402808.81"/>
    <n v="0"/>
  </r>
  <r>
    <x v="7"/>
    <x v="27"/>
    <s v="812 - Desporto comunitário"/>
    <x v="1818"/>
    <n v="6641672.2000000002"/>
    <n v="3893528.4"/>
    <n v="8567336.6699999999"/>
  </r>
  <r>
    <x v="7"/>
    <x v="20"/>
    <s v="482 - Habitação urbana"/>
    <x v="1819"/>
    <n v="11101413.65"/>
    <n v="11700256.52"/>
    <n v="12573839.07"/>
  </r>
  <r>
    <x v="7"/>
    <x v="7"/>
    <s v="303 - Suporte profilático e terapêutico"/>
    <x v="1820"/>
    <n v="1389463890.99"/>
    <n v="2016609588.47"/>
    <n v="75591270.409999996"/>
  </r>
  <r>
    <x v="7"/>
    <x v="26"/>
    <s v="783 - Transporte ferroviário"/>
    <x v="1821"/>
    <n v="1196305.3500000001"/>
    <n v="1101268.51"/>
    <n v="2696574.57"/>
  </r>
  <r>
    <x v="7"/>
    <x v="20"/>
    <s v="212 - Cooperação internacional"/>
    <x v="1822"/>
    <n v="1090003.1100000001"/>
    <n v="1014071.87"/>
    <n v="321263.90000000002"/>
  </r>
  <r>
    <x v="7"/>
    <x v="8"/>
    <s v="631 - Reforma agrária"/>
    <x v="1823"/>
    <n v="27794856.859999999"/>
    <n v="21100765.149999999"/>
    <n v="6701624.5899999999"/>
  </r>
  <r>
    <x v="7"/>
    <x v="25"/>
    <s v="512 - Saneamento básico urbano"/>
    <x v="1824"/>
    <n v="13027648.300000001"/>
    <n v="13031586.15"/>
    <n v="23026770"/>
  </r>
  <r>
    <x v="7"/>
    <x v="16"/>
    <s v="126 - Tecnologia da informação"/>
    <x v="1825"/>
    <n v="2178666.2599999998"/>
    <n v="2092290.12"/>
    <n v="84862.58"/>
  </r>
  <r>
    <x v="7"/>
    <x v="12"/>
    <s v="183 - Informação e inteligência"/>
    <x v="1826"/>
    <n v="13694589.85"/>
    <n v="10635609.5"/>
    <n v="27594.31"/>
  </r>
  <r>
    <x v="7"/>
    <x v="20"/>
    <s v="131 - Comunicação social"/>
    <x v="1827"/>
    <n v="274791.19"/>
    <n v="213601.83"/>
    <n v="0"/>
  </r>
  <r>
    <x v="7"/>
    <x v="8"/>
    <s v="608 - Promoção da produção agropecuária"/>
    <x v="1828"/>
    <n v="3802887.89"/>
    <n v="3445040.7"/>
    <n v="0"/>
  </r>
  <r>
    <x v="7"/>
    <x v="20"/>
    <s v="151 - Defesa aérea"/>
    <x v="1829"/>
    <n v="222797283.22999999"/>
    <n v="222977552.75999999"/>
    <n v="74139591.920000002"/>
  </r>
  <r>
    <x v="7"/>
    <x v="7"/>
    <s v="571 - Desenvolvimento científico"/>
    <x v="1830"/>
    <n v="80964682.620000005"/>
    <n v="70381213.769999996"/>
    <n v="6240346.5999999996"/>
  </r>
  <r>
    <x v="7"/>
    <x v="20"/>
    <s v="542 - Controle ambiental"/>
    <x v="1831"/>
    <n v="1403859.91"/>
    <n v="1853720.23"/>
    <n v="1631932.37"/>
  </r>
  <r>
    <x v="7"/>
    <x v="10"/>
    <s v="271 - Previdência básica"/>
    <x v="1832"/>
    <n v="3842091416.96"/>
    <n v="88234540186.550003"/>
    <n v="714922.98"/>
  </r>
  <r>
    <x v="7"/>
    <x v="5"/>
    <s v="607 - Irrigação"/>
    <x v="1833"/>
    <n v="2940517.29"/>
    <n v="3882376.71"/>
    <n v="1674794.76"/>
  </r>
  <r>
    <x v="7"/>
    <x v="7"/>
    <s v="304 - Vigilância sanitária"/>
    <x v="1834"/>
    <n v="4586276.54"/>
    <n v="3670147.23"/>
    <n v="205431.63"/>
  </r>
  <r>
    <x v="7"/>
    <x v="14"/>
    <s v="125 - Normatização e fiscalização"/>
    <x v="1835"/>
    <n v="5145522.63"/>
    <n v="8627286.2400000002"/>
    <n v="376587.96"/>
  </r>
  <r>
    <x v="7"/>
    <x v="20"/>
    <s v="368 - Educação básica"/>
    <x v="1836"/>
    <n v="2235535.58"/>
    <n v="3008643.58"/>
    <n v="144409.56"/>
  </r>
  <r>
    <x v="7"/>
    <x v="10"/>
    <s v="272 - Previdência do regime estatutário"/>
    <x v="1837"/>
    <n v="506207764.31"/>
    <n v="14888260656.309999"/>
    <n v="17572.97"/>
  </r>
  <r>
    <x v="7"/>
    <x v="20"/>
    <s v="126 - Tecnologia da informação"/>
    <x v="1838"/>
    <n v="2984656.66"/>
    <n v="2798976.57"/>
    <n v="10411752.07"/>
  </r>
  <r>
    <x v="7"/>
    <x v="0"/>
    <s v="367 - Educação especial"/>
    <x v="1839"/>
    <n v="2315786.71"/>
    <n v="1820852.15"/>
    <n v="201226.18"/>
  </r>
  <r>
    <x v="7"/>
    <x v="7"/>
    <s v="512 - Saneamento básico urbano"/>
    <x v="0"/>
    <n v="0"/>
    <n v="0"/>
    <n v="26793185.399999999"/>
  </r>
  <r>
    <x v="7"/>
    <x v="3"/>
    <s v="573 - Difusão do conhecimento científico e tecnológico"/>
    <x v="1840"/>
    <n v="725058.66"/>
    <n v="694168.08"/>
    <n v="344154.55"/>
  </r>
  <r>
    <x v="7"/>
    <x v="5"/>
    <s v="573 - Difusão do conhecimento científico e tecnológico"/>
    <x v="1841"/>
    <n v="301748.46000000002"/>
    <n v="284942.62"/>
    <n v="102475.24"/>
  </r>
  <r>
    <x v="7"/>
    <x v="0"/>
    <s v="306 - Alimentação e nutrição"/>
    <x v="1842"/>
    <n v="613258835.51999998"/>
    <n v="613041432.30999994"/>
    <n v="1116585.25"/>
  </r>
  <r>
    <x v="7"/>
    <x v="3"/>
    <s v="331 - Proteção e benefícios ao trabalhador"/>
    <x v="1843"/>
    <n v="4172498.39"/>
    <n v="13253860.17"/>
    <n v="0"/>
  </r>
  <r>
    <x v="7"/>
    <x v="2"/>
    <s v="392 - Difusão cultural"/>
    <x v="1844"/>
    <n v="2638424.04"/>
    <n v="2815961.87"/>
    <n v="108574.01"/>
  </r>
  <r>
    <x v="7"/>
    <x v="5"/>
    <s v="125 - Normatização e fiscalização"/>
    <x v="1845"/>
    <n v="13575885.91"/>
    <n v="12616985.390000001"/>
    <n v="777951.23"/>
  </r>
  <r>
    <x v="7"/>
    <x v="7"/>
    <s v="305 - Vigilância epidemiológica"/>
    <x v="1846"/>
    <n v="792847496.54999995"/>
    <n v="858618113.32000005"/>
    <n v="20525847.690000001"/>
  </r>
  <r>
    <x v="7"/>
    <x v="8"/>
    <s v="363 - Ensino profissional"/>
    <x v="1847"/>
    <n v="254362.94"/>
    <n v="159816.14000000001"/>
    <n v="407637.37"/>
  </r>
  <r>
    <x v="7"/>
    <x v="9"/>
    <s v="092 - Representação judicial e extrajudicial"/>
    <x v="1848"/>
    <n v="26160051.789999999"/>
    <n v="30444041.309999999"/>
    <n v="3909243.46"/>
  </r>
  <r>
    <x v="7"/>
    <x v="23"/>
    <s v="544 - Recursos hídricos"/>
    <x v="1849"/>
    <n v="55193250.539999999"/>
    <n v="51119293.119999997"/>
    <n v="117440102.55"/>
  </r>
  <r>
    <x v="7"/>
    <x v="0"/>
    <s v="365 - Educação infantil"/>
    <x v="1850"/>
    <n v="25516844.579999998"/>
    <n v="25516844.579999998"/>
    <n v="6009767.3399999999"/>
  </r>
  <r>
    <x v="7"/>
    <x v="4"/>
    <s v="751 - Conservação de energia"/>
    <x v="1851"/>
    <n v="1844479.65"/>
    <n v="1668872.09"/>
    <n v="0"/>
  </r>
  <r>
    <x v="7"/>
    <x v="8"/>
    <s v="127 - Ordenamento territorial"/>
    <x v="1852"/>
    <n v="10590509.42"/>
    <n v="10488368.68"/>
    <n v="4664388.22"/>
  </r>
  <r>
    <x v="7"/>
    <x v="20"/>
    <s v="571 - Desenvolvimento científico"/>
    <x v="1853"/>
    <n v="341431.8"/>
    <n v="1570545.82"/>
    <n v="21929.37"/>
  </r>
  <r>
    <x v="7"/>
    <x v="3"/>
    <s v="662 - Produção industrial"/>
    <x v="1854"/>
    <n v="12713107.65"/>
    <n v="13000695.189999999"/>
    <n v="669077.92000000004"/>
  </r>
  <r>
    <x v="7"/>
    <x v="7"/>
    <s v="331 - Proteção e benefícios ao trabalhador"/>
    <x v="1855"/>
    <n v="8471518.1699999999"/>
    <n v="111026208.20999999"/>
    <n v="0"/>
  </r>
  <r>
    <x v="7"/>
    <x v="2"/>
    <s v="212 - Cooperação internacional"/>
    <x v="1856"/>
    <n v="4466519.03"/>
    <n v="3243386.24"/>
    <n v="0"/>
  </r>
  <r>
    <x v="7"/>
    <x v="21"/>
    <s v="122 - Administração geral"/>
    <x v="1857"/>
    <n v="25951982.68"/>
    <n v="70372042.709999993"/>
    <n v="664552.94999999995"/>
  </r>
  <r>
    <x v="7"/>
    <x v="14"/>
    <s v="422 - Direitos individuais, coletivos e difusos"/>
    <x v="1858"/>
    <n v="12448814.43"/>
    <n v="15648823.449999999"/>
    <n v="22547400.149999999"/>
  </r>
  <r>
    <x v="7"/>
    <x v="16"/>
    <s v="663 - Mineração"/>
    <x v="1859"/>
    <n v="2456820.96"/>
    <n v="2236576.09"/>
    <n v="359681.13"/>
  </r>
  <r>
    <x v="7"/>
    <x v="5"/>
    <s v="608 - Promoção da produção agropecuária"/>
    <x v="1860"/>
    <n v="2902801544.6999998"/>
    <n v="1606222623.6900001"/>
    <n v="256847193.83000001"/>
  </r>
  <r>
    <x v="7"/>
    <x v="23"/>
    <s v="331 - Proteção e benefícios ao trabalhador"/>
    <x v="1861"/>
    <n v="159720.6"/>
    <n v="10223104.15"/>
    <n v="0"/>
  </r>
  <r>
    <x v="7"/>
    <x v="7"/>
    <s v="128 - Formação de recursos humanos"/>
    <x v="1862"/>
    <n v="148627897.78"/>
    <n v="151129015.18000001"/>
    <n v="1663847.94"/>
  </r>
  <r>
    <x v="7"/>
    <x v="20"/>
    <s v="781 - Transporte aéreo"/>
    <x v="1863"/>
    <n v="443845.93"/>
    <n v="161561.98000000001"/>
    <n v="152370.4"/>
  </r>
  <r>
    <x v="7"/>
    <x v="0"/>
    <s v="128 - Formação de recursos humanos"/>
    <x v="1864"/>
    <n v="1940476.04"/>
    <n v="3972470.04"/>
    <n v="799090.35"/>
  </r>
  <r>
    <x v="7"/>
    <x v="23"/>
    <s v="541 - Preservação e conservação ambiental"/>
    <x v="1865"/>
    <n v="16581188.029999999"/>
    <n v="15414905.23"/>
    <n v="1170010.5"/>
  </r>
  <r>
    <x v="7"/>
    <x v="4"/>
    <s v="572 - Desenvolvimento tecnológico e engenharia"/>
    <x v="1866"/>
    <n v="5632903.5300000003"/>
    <n v="4079413.46"/>
    <n v="594439.82999999996"/>
  </r>
  <r>
    <x v="7"/>
    <x v="12"/>
    <s v="128 - Formação de recursos humanos"/>
    <x v="1867"/>
    <n v="460429.99"/>
    <n v="824782.6"/>
    <n v="63648.07"/>
  </r>
  <r>
    <x v="7"/>
    <x v="20"/>
    <s v="301 - Atenção básica"/>
    <x v="1868"/>
    <n v="1651441.78"/>
    <n v="3404564.73"/>
    <n v="32336945.52"/>
  </r>
  <r>
    <x v="7"/>
    <x v="8"/>
    <s v="122 - Administração geral"/>
    <x v="1869"/>
    <n v="13101252.43"/>
    <n v="166021068.49000001"/>
    <n v="467923.33"/>
  </r>
  <r>
    <x v="7"/>
    <x v="1"/>
    <s v="122 - Administração geral"/>
    <x v="1870"/>
    <n v="80849397.879999995"/>
    <n v="864142274.55999994"/>
    <n v="6535909.0199999996"/>
  </r>
  <r>
    <x v="7"/>
    <x v="0"/>
    <s v="122 - Administração geral"/>
    <x v="1871"/>
    <n v="39359249.5"/>
    <n v="110796573.75"/>
    <n v="1162245.74"/>
  </r>
  <r>
    <x v="7"/>
    <x v="6"/>
    <s v="695 - Turismo"/>
    <x v="1872"/>
    <n v="2359894.54"/>
    <n v="1248377.56"/>
    <n v="11779894.18"/>
  </r>
  <r>
    <x v="7"/>
    <x v="4"/>
    <s v="122 - Administração geral"/>
    <x v="1873"/>
    <n v="14935634.83"/>
    <n v="80558429.329999998"/>
    <n v="382468.36"/>
  </r>
  <r>
    <x v="7"/>
    <x v="4"/>
    <s v="125 - Normatização e fiscalização"/>
    <x v="1874"/>
    <n v="5956883.7000000002"/>
    <n v="6407678.6299999999"/>
    <n v="1232710.5900000001"/>
  </r>
  <r>
    <x v="7"/>
    <x v="26"/>
    <s v="782 - Transporte rodoviário"/>
    <x v="1875"/>
    <n v="915453725.97000003"/>
    <n v="751247888.42999995"/>
    <n v="176137696.80000001"/>
  </r>
  <r>
    <x v="7"/>
    <x v="2"/>
    <s v="573 - Difusão do conhecimento científico e tecnológico"/>
    <x v="1876"/>
    <n v="357789.48"/>
    <n v="374970.74"/>
    <n v="0"/>
  </r>
  <r>
    <x v="7"/>
    <x v="16"/>
    <s v="122 - Administração geral"/>
    <x v="1877"/>
    <n v="24650016.059999999"/>
    <n v="141330767.68000001"/>
    <n v="58919.360000000001"/>
  </r>
  <r>
    <x v="7"/>
    <x v="3"/>
    <s v="572 - Desenvolvimento tecnológico e engenharia"/>
    <x v="1878"/>
    <n v="145671548.88"/>
    <n v="165600742.38"/>
    <n v="26889827.579999998"/>
  </r>
  <r>
    <x v="7"/>
    <x v="18"/>
    <s v="125 - Normatização e fiscalização"/>
    <x v="1879"/>
    <n v="1827817.78"/>
    <n v="1910129.47"/>
    <n v="213958.7"/>
  </r>
  <r>
    <x v="7"/>
    <x v="16"/>
    <s v="544 - Recursos hídricos"/>
    <x v="1880"/>
    <n v="226234.55"/>
    <n v="201826.04"/>
    <n v="139694.48000000001"/>
  </r>
  <r>
    <x v="7"/>
    <x v="3"/>
    <s v="122 - Administração geral"/>
    <x v="1881"/>
    <n v="58338938.850000001"/>
    <n v="201141773.06"/>
    <n v="4180456.86"/>
  </r>
  <r>
    <x v="7"/>
    <x v="2"/>
    <s v="211 - Relações diplomáticas"/>
    <x v="1882"/>
    <n v="55653437.409999996"/>
    <n v="55911606.159999996"/>
    <n v="542313.15"/>
  </r>
  <r>
    <x v="7"/>
    <x v="3"/>
    <s v="571 - Desenvolvimento científico"/>
    <x v="1883"/>
    <n v="23436435.219999999"/>
    <n v="193033230.88"/>
    <n v="41612378.630000003"/>
  </r>
  <r>
    <x v="7"/>
    <x v="10"/>
    <s v="122 - Administração geral"/>
    <x v="1884"/>
    <n v="958240.01"/>
    <n v="350676485.13"/>
    <n v="1022215.34"/>
  </r>
  <r>
    <x v="7"/>
    <x v="7"/>
    <s v="423 - Assistência aos povos indígenas"/>
    <x v="1885"/>
    <n v="126065267"/>
    <n v="122753839.29000001"/>
    <n v="872487.97"/>
  </r>
  <r>
    <x v="7"/>
    <x v="23"/>
    <s v="125 - Normatização e fiscalização"/>
    <x v="1886"/>
    <n v="16143875"/>
    <n v="28678123.82"/>
    <n v="2987500"/>
  </r>
  <r>
    <x v="7"/>
    <x v="14"/>
    <s v="423 - Assistência aos povos indígenas"/>
    <x v="1887"/>
    <n v="4422502.92"/>
    <n v="4335548.37"/>
    <n v="509538.52"/>
  </r>
  <r>
    <x v="7"/>
    <x v="19"/>
    <s v="244 - Assistência comunitária"/>
    <x v="0"/>
    <n v="0"/>
    <n v="0"/>
    <n v="322137634.56999999"/>
  </r>
  <r>
    <x v="7"/>
    <x v="0"/>
    <s v="331 - Proteção e benefícios ao trabalhador"/>
    <x v="1888"/>
    <n v="7846686.2699999996"/>
    <n v="547030107.97000003"/>
    <n v="0"/>
  </r>
  <r>
    <x v="7"/>
    <x v="0"/>
    <s v="302 - Assistência hospitalar e ambulatorial"/>
    <x v="1889"/>
    <n v="146939981.47"/>
    <n v="1385067614.8699999"/>
    <n v="10830029.99"/>
  </r>
  <r>
    <x v="7"/>
    <x v="1"/>
    <s v="182 - Defesa civil"/>
    <x v="1890"/>
    <n v="73981773.709999993"/>
    <n v="98589854.340000004"/>
    <n v="20947495.949999999"/>
  </r>
  <r>
    <x v="7"/>
    <x v="12"/>
    <s v="131 - Comunicação social"/>
    <x v="1891"/>
    <n v="51080477.700000003"/>
    <n v="51445942.07"/>
    <n v="783430.48"/>
  </r>
  <r>
    <x v="7"/>
    <x v="1"/>
    <s v="181 - Policiamento"/>
    <x v="1892"/>
    <n v="623055967.97000003"/>
    <n v="645176353.09000003"/>
    <n v="166358119.52000001"/>
  </r>
  <r>
    <x v="7"/>
    <x v="13"/>
    <s v="244 - Assistência comunitária"/>
    <x v="1893"/>
    <n v="14398649524.209999"/>
    <n v="14395600316.110001"/>
    <n v="11056356.59"/>
  </r>
  <r>
    <x v="7"/>
    <x v="5"/>
    <s v="572 - Desenvolvimento tecnológico e engenharia"/>
    <x v="1894"/>
    <n v="14845474.550000001"/>
    <n v="13034680.060000001"/>
    <n v="4503241.62"/>
  </r>
  <r>
    <x v="7"/>
    <x v="20"/>
    <s v="363 - Ensino profissional"/>
    <x v="1895"/>
    <n v="3304795.46"/>
    <n v="2502535.33"/>
    <n v="421167.2"/>
  </r>
  <r>
    <x v="7"/>
    <x v="7"/>
    <s v="511 - Saneamento básico rural"/>
    <x v="1896"/>
    <n v="5638793.3200000003"/>
    <n v="3350842.96"/>
    <n v="8499247.7100000009"/>
  </r>
  <r>
    <x v="7"/>
    <x v="19"/>
    <s v="451 - infra-estrutura urbana"/>
    <x v="1897"/>
    <n v="0"/>
    <n v="0"/>
    <n v="395049302.37"/>
  </r>
  <r>
    <x v="7"/>
    <x v="2"/>
    <s v="331 - Proteção e benefícios ao trabalhador"/>
    <x v="1898"/>
    <n v="3323121.58"/>
    <n v="4682133.57"/>
    <n v="0"/>
  </r>
  <r>
    <x v="7"/>
    <x v="13"/>
    <s v="306 - Alimentação e nutrição"/>
    <x v="1899"/>
    <n v="1856570.43"/>
    <n v="1025918.34"/>
    <n v="19611124.469999999"/>
  </r>
  <r>
    <x v="7"/>
    <x v="11"/>
    <s v="846 - Outros encargos especiais"/>
    <x v="1900"/>
    <n v="3060793652.5799999"/>
    <n v="3417115763.8299999"/>
    <n v="165523270.83000001"/>
  </r>
  <r>
    <x v="7"/>
    <x v="20"/>
    <s v="128 - Formação de recursos humanos"/>
    <x v="1901"/>
    <n v="14832646.199999999"/>
    <n v="12895538.779999999"/>
    <n v="2028789.12"/>
  </r>
  <r>
    <x v="7"/>
    <x v="0"/>
    <s v="368 - Educação básica"/>
    <x v="1902"/>
    <n v="339638024.10000002"/>
    <n v="386637954.48000002"/>
    <n v="83742194.900000006"/>
  </r>
  <r>
    <x v="7"/>
    <x v="14"/>
    <s v="122 - Administração geral"/>
    <x v="1903"/>
    <n v="17785216.09"/>
    <n v="51901224.520000003"/>
    <n v="3195625.85"/>
  </r>
  <r>
    <x v="7"/>
    <x v="22"/>
    <s v="122 - Administração geral"/>
    <x v="1904"/>
    <n v="7826273.2400000002"/>
    <n v="283565536.52999997"/>
    <n v="125341.44"/>
  </r>
  <r>
    <x v="7"/>
    <x v="26"/>
    <s v="122 - Administração geral"/>
    <x v="1905"/>
    <n v="61931770.619999997"/>
    <n v="225263791.59999999"/>
    <n v="3657668.6"/>
  </r>
  <r>
    <x v="7"/>
    <x v="7"/>
    <s v="301 - Atenção básica"/>
    <x v="1906"/>
    <n v="3017986603.6500001"/>
    <n v="2997397430.4200001"/>
    <n v="40652243.960000001"/>
  </r>
  <r>
    <x v="7"/>
    <x v="12"/>
    <s v="121 - Planejamento e orçamento"/>
    <x v="1907"/>
    <n v="10971253.689999999"/>
    <n v="26227105.02"/>
    <n v="4729840.3"/>
  </r>
  <r>
    <x v="7"/>
    <x v="12"/>
    <s v="127 - Ordenamento territorial"/>
    <x v="1908"/>
    <n v="2236751.9900000002"/>
    <n v="4071128.42"/>
    <n v="696201.72"/>
  </r>
  <r>
    <x v="7"/>
    <x v="0"/>
    <s v="363 - Ensino profissional"/>
    <x v="1909"/>
    <n v="181168700.28"/>
    <n v="1700571864.25"/>
    <n v="42700279.409999996"/>
  </r>
  <r>
    <x v="7"/>
    <x v="7"/>
    <s v="122 - Administração geral"/>
    <x v="1910"/>
    <n v="2186784361.23"/>
    <n v="2902521713.8600001"/>
    <n v="844445.88"/>
  </r>
  <r>
    <x v="7"/>
    <x v="16"/>
    <s v="127 - Ordenamento territorial"/>
    <x v="1911"/>
    <n v="98486.21"/>
    <n v="118421.21"/>
    <n v="24600"/>
  </r>
  <r>
    <x v="7"/>
    <x v="2"/>
    <s v="122 - Administração geral"/>
    <x v="1912"/>
    <n v="58457627.979999997"/>
    <n v="86426999.180000007"/>
    <n v="302841.36"/>
  </r>
  <r>
    <x v="7"/>
    <x v="5"/>
    <s v="691 - Promoção comercial"/>
    <x v="1913"/>
    <n v="1511246.99"/>
    <n v="1197821.55"/>
    <n v="153086.87"/>
  </r>
  <r>
    <x v="7"/>
    <x v="16"/>
    <s v="331 - Proteção e benefícios ao trabalhador"/>
    <x v="1914"/>
    <n v="3679951.81"/>
    <n v="9799993.5700000003"/>
    <n v="0"/>
  </r>
  <r>
    <x v="7"/>
    <x v="23"/>
    <s v="542 - Controle ambiental"/>
    <x v="1915"/>
    <n v="4180408.54"/>
    <n v="12460770.42"/>
    <n v="2933931.22"/>
  </r>
  <r>
    <x v="7"/>
    <x v="11"/>
    <s v="845 - Outras transferências"/>
    <x v="1916"/>
    <n v="25440431241.59"/>
    <n v="23099472514.139999"/>
    <n v="616274247.94000006"/>
  </r>
  <r>
    <x v="7"/>
    <x v="20"/>
    <s v="333 - Empregabilidade"/>
    <x v="1917"/>
    <n v="261069.51"/>
    <n v="234184.37"/>
    <n v="8614.59"/>
  </r>
  <r>
    <x v="7"/>
    <x v="8"/>
    <s v="331 - Proteção e benefícios ao trabalhador"/>
    <x v="1918"/>
    <n v="4184585.15"/>
    <n v="13348367.800000001"/>
    <n v="0"/>
  </r>
  <r>
    <x v="7"/>
    <x v="7"/>
    <s v="302 - Assistência hospitalar e ambulatorial"/>
    <x v="1919"/>
    <n v="9584417236.5900002"/>
    <n v="9477077796.9200001"/>
    <n v="63079741.270000003"/>
  </r>
  <r>
    <x v="7"/>
    <x v="0"/>
    <s v="364 - Ensino superior"/>
    <x v="1920"/>
    <n v="481500456.77999997"/>
    <n v="4539273431.0299997"/>
    <n v="95603018.359999999"/>
  </r>
  <r>
    <x v="7"/>
    <x v="20"/>
    <s v="125 - Normatização e fiscalização"/>
    <x v="1921"/>
    <n v="14705388.470000001"/>
    <n v="12266798.1"/>
    <n v="2136082.35"/>
  </r>
  <r>
    <x v="7"/>
    <x v="20"/>
    <s v="572 - Desenvolvimento tecnológico e engenharia"/>
    <x v="1922"/>
    <n v="6192280.4900000002"/>
    <n v="19780874"/>
    <n v="2451322.14"/>
  </r>
  <r>
    <x v="7"/>
    <x v="20"/>
    <s v="122 - Administração geral"/>
    <x v="1923"/>
    <n v="1318420385.29"/>
    <n v="6725800993.04"/>
    <n v="22667158.18"/>
  </r>
  <r>
    <x v="7"/>
    <x v="20"/>
    <s v="152 - Defesa naval"/>
    <x v="1924"/>
    <n v="123491841.63"/>
    <n v="91241410.430000007"/>
    <n v="25936262.620000001"/>
  </r>
  <r>
    <x v="7"/>
    <x v="5"/>
    <s v="122 - Administração geral"/>
    <x v="1925"/>
    <n v="219878511.19"/>
    <n v="523237794.57999998"/>
    <n v="816162.54"/>
  </r>
  <r>
    <x v="7"/>
    <x v="20"/>
    <s v="153 - Defesa terrestre"/>
    <x v="1926"/>
    <n v="125511301.23999999"/>
    <n v="110956305.16"/>
    <n v="69715178.519999996"/>
  </r>
  <r>
    <x v="7"/>
    <x v="12"/>
    <s v="122 - Administração geral"/>
    <x v="1927"/>
    <n v="223876660.31"/>
    <n v="2450297887.73"/>
    <n v="29774193.530000001"/>
  </r>
  <r>
    <x v="7"/>
    <x v="20"/>
    <s v="331 - Proteção e benefícios ao trabalhador"/>
    <x v="1928"/>
    <n v="537288437.59000003"/>
    <n v="789874204.94000006"/>
    <n v="26276800.32"/>
  </r>
  <r>
    <x v="7"/>
    <x v="12"/>
    <s v="124 - Controle interno"/>
    <x v="1929"/>
    <n v="7616274.8799999999"/>
    <n v="6995352.5499999998"/>
    <n v="3248925.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752250-9D11-4ADF-8EFB-AF2B4B0B7FA8}" name="Tabela dinâmica5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G2:H11" firstHeaderRow="1" firstDataRow="1" firstDataCol="1"/>
  <pivotFields count="8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>
      <items count="1931">
        <item x="1399"/>
        <item x="603"/>
        <item x="1627"/>
        <item x="1306"/>
        <item x="809"/>
        <item x="640"/>
        <item x="283"/>
        <item x="326"/>
        <item x="1924"/>
        <item x="1185"/>
        <item x="1594"/>
        <item x="662"/>
        <item x="392"/>
        <item x="443"/>
        <item x="1682"/>
        <item x="512"/>
        <item x="361"/>
        <item x="782"/>
        <item x="1922"/>
        <item x="581"/>
        <item x="1712"/>
        <item x="533"/>
        <item x="1764"/>
        <item x="542"/>
        <item x="1824"/>
        <item x="625"/>
        <item x="650"/>
        <item x="455"/>
        <item x="506"/>
        <item x="585"/>
        <item x="1774"/>
        <item x="1371"/>
        <item x="817"/>
        <item x="631"/>
        <item x="230"/>
        <item x="258"/>
        <item x="494"/>
        <item x="665"/>
        <item x="349"/>
        <item x="1507"/>
        <item x="561"/>
        <item x="626"/>
        <item x="602"/>
        <item x="451"/>
        <item x="480"/>
        <item x="580"/>
        <item x="1010"/>
        <item x="486"/>
        <item x="548"/>
        <item x="550"/>
        <item x="1267"/>
        <item x="459"/>
        <item x="1759"/>
        <item x="231"/>
        <item x="1322"/>
        <item x="1222"/>
        <item x="1808"/>
        <item x="1563"/>
        <item x="1218"/>
        <item x="712"/>
        <item x="1460"/>
        <item x="342"/>
        <item x="560"/>
        <item x="508"/>
        <item x="353"/>
        <item x="1493"/>
        <item x="519"/>
        <item x="574"/>
        <item x="1848"/>
        <item x="457"/>
        <item x="424"/>
        <item x="1488"/>
        <item x="1398"/>
        <item x="495"/>
        <item x="463"/>
        <item x="1884"/>
        <item x="763"/>
        <item x="567"/>
        <item x="504"/>
        <item x="1710"/>
        <item x="1534"/>
        <item x="1570"/>
        <item x="1851"/>
        <item x="1005"/>
        <item x="1706"/>
        <item x="337"/>
        <item x="1827"/>
        <item x="1533"/>
        <item x="721"/>
        <item x="1639"/>
        <item x="1001"/>
        <item x="1511"/>
        <item x="1321"/>
        <item x="1800"/>
        <item x="1484"/>
        <item x="1102"/>
        <item x="1078"/>
        <item x="397"/>
        <item x="235"/>
        <item x="1698"/>
        <item x="716"/>
        <item x="1270"/>
        <item x="315"/>
        <item x="780"/>
        <item x="1020"/>
        <item x="1489"/>
        <item x="1566"/>
        <item x="736"/>
        <item x="857"/>
        <item x="752"/>
        <item x="833"/>
        <item x="1228"/>
        <item x="241"/>
        <item x="1035"/>
        <item x="1041"/>
        <item x="715"/>
        <item x="1494"/>
        <item x="0"/>
        <item x="1513"/>
        <item x="1756"/>
        <item x="47"/>
        <item x="309"/>
        <item x="497"/>
        <item x="532"/>
        <item x="466"/>
        <item x="296"/>
        <item x="960"/>
        <item x="531"/>
        <item x="744"/>
        <item x="1738"/>
        <item x="1062"/>
        <item x="478"/>
        <item x="299"/>
        <item x="738"/>
        <item x="1096"/>
        <item x="1236"/>
        <item x="1544"/>
        <item x="1796"/>
        <item x="1711"/>
        <item x="453"/>
        <item x="11"/>
        <item x="1210"/>
        <item x="102"/>
        <item x="63"/>
        <item x="27"/>
        <item x="1705"/>
        <item x="32"/>
        <item x="1048"/>
        <item x="328"/>
        <item x="354"/>
        <item x="106"/>
        <item x="1339"/>
        <item x="518"/>
        <item x="1751"/>
        <item x="110"/>
        <item x="1311"/>
        <item x="15"/>
        <item x="467"/>
        <item x="82"/>
        <item x="1762"/>
        <item x="1231"/>
        <item x="1471"/>
        <item x="746"/>
        <item x="1280"/>
        <item x="114"/>
        <item x="768"/>
        <item x="783"/>
        <item x="1314"/>
        <item x="999"/>
        <item x="127"/>
        <item x="19"/>
        <item x="339"/>
        <item x="1256"/>
        <item x="1742"/>
        <item x="73"/>
        <item x="261"/>
        <item x="161"/>
        <item x="474"/>
        <item x="1703"/>
        <item x="1714"/>
        <item x="1700"/>
        <item x="107"/>
        <item x="871"/>
        <item x="30"/>
        <item x="499"/>
        <item x="800"/>
        <item x="1449"/>
        <item x="971"/>
        <item x="1457"/>
        <item x="955"/>
        <item x="329"/>
        <item x="1064"/>
        <item x="240"/>
        <item x="278"/>
        <item x="1478"/>
        <item x="1016"/>
        <item x="1277"/>
        <item x="56"/>
        <item x="714"/>
        <item x="291"/>
        <item x="469"/>
        <item x="598"/>
        <item x="761"/>
        <item x="22"/>
        <item x="224"/>
        <item x="769"/>
        <item x="232"/>
        <item x="617"/>
        <item x="872"/>
        <item x="1588"/>
        <item x="1739"/>
        <item x="1452"/>
        <item x="1861"/>
        <item x="1464"/>
        <item x="794"/>
        <item x="1009"/>
        <item x="237"/>
        <item x="563"/>
        <item x="1792"/>
        <item x="1549"/>
        <item x="587"/>
        <item x="256"/>
        <item x="1475"/>
        <item x="962"/>
        <item x="66"/>
        <item x="1223"/>
        <item x="830"/>
        <item x="1038"/>
        <item x="731"/>
        <item x="1709"/>
        <item x="1746"/>
        <item x="244"/>
        <item x="1749"/>
        <item x="1"/>
        <item x="362"/>
        <item x="1578"/>
        <item x="498"/>
        <item x="265"/>
        <item x="98"/>
        <item x="250"/>
        <item x="1332"/>
        <item x="1561"/>
        <item x="293"/>
        <item x="1014"/>
        <item x="1524"/>
        <item x="747"/>
        <item x="770"/>
        <item x="1247"/>
        <item x="1497"/>
        <item x="1130"/>
        <item x="77"/>
        <item x="1213"/>
        <item x="239"/>
        <item x="1090"/>
        <item x="1772"/>
        <item x="1786"/>
        <item x="1491"/>
        <item x="1500"/>
        <item x="246"/>
        <item x="1318"/>
        <item x="1269"/>
        <item x="290"/>
        <item x="298"/>
        <item x="1301"/>
        <item x="702"/>
        <item x="1509"/>
        <item x="1255"/>
        <item x="233"/>
        <item x="1721"/>
        <item x="1744"/>
        <item x="122"/>
        <item x="802"/>
        <item x="1278"/>
        <item x="310"/>
        <item x="1773"/>
        <item x="1274"/>
        <item x="464"/>
        <item x="1030"/>
        <item x="17"/>
        <item x="50"/>
        <item x="18"/>
        <item x="275"/>
        <item x="525"/>
        <item x="1181"/>
        <item x="1483"/>
        <item x="805"/>
        <item x="1227"/>
        <item x="994"/>
        <item x="1077"/>
        <item x="529"/>
        <item x="1310"/>
        <item x="1462"/>
        <item x="65"/>
        <item x="564"/>
        <item x="634"/>
        <item x="964"/>
        <item x="961"/>
        <item x="1108"/>
        <item x="1911"/>
        <item x="277"/>
        <item x="1486"/>
        <item x="41"/>
        <item x="1506"/>
        <item x="105"/>
        <item x="1013"/>
        <item x="764"/>
        <item x="255"/>
        <item x="1789"/>
        <item x="1724"/>
        <item x="270"/>
        <item x="1615"/>
        <item x="1499"/>
        <item x="1466"/>
        <item x="59"/>
        <item x="1027"/>
        <item x="1042"/>
        <item x="767"/>
        <item x="1470"/>
        <item x="974"/>
        <item x="1490"/>
        <item x="725"/>
        <item x="1208"/>
        <item x="295"/>
        <item x="750"/>
        <item x="549"/>
        <item x="1066"/>
        <item x="711"/>
        <item x="1787"/>
        <item x="1516"/>
        <item x="1015"/>
        <item x="1467"/>
        <item x="489"/>
        <item x="1019"/>
        <item x="1008"/>
        <item x="23"/>
        <item x="317"/>
        <item x="115"/>
        <item x="1501"/>
        <item x="1843"/>
        <item x="513"/>
        <item x="1630"/>
        <item x="1717"/>
        <item x="1370"/>
        <item x="839"/>
        <item x="1072"/>
        <item x="975"/>
        <item x="1018"/>
        <item x="516"/>
        <item x="1817"/>
        <item x="1025"/>
        <item x="1725"/>
        <item x="517"/>
        <item x="1239"/>
        <item x="473"/>
        <item x="396"/>
        <item x="1260"/>
        <item x="26"/>
        <item x="157"/>
        <item x="490"/>
        <item x="958"/>
        <item x="1503"/>
        <item x="976"/>
        <item x="501"/>
        <item x="1359"/>
        <item x="482"/>
        <item x="1508"/>
        <item x="1555"/>
        <item x="1757"/>
        <item x="452"/>
        <item x="781"/>
        <item x="977"/>
        <item x="1728"/>
        <item x="601"/>
        <item x="226"/>
        <item x="1750"/>
        <item x="1715"/>
        <item x="1103"/>
        <item x="1261"/>
        <item x="287"/>
        <item x="1699"/>
        <item x="717"/>
        <item x="355"/>
        <item x="1535"/>
        <item x="1585"/>
        <item x="1718"/>
        <item x="536"/>
        <item x="470"/>
        <item x="302"/>
        <item x="1737"/>
        <item x="1216"/>
        <item x="647"/>
        <item x="690"/>
        <item x="966"/>
        <item x="348"/>
        <item x="589"/>
        <item x="526"/>
        <item x="996"/>
        <item x="990"/>
        <item x="1701"/>
        <item x="1521"/>
        <item x="1726"/>
        <item x="45"/>
        <item x="982"/>
        <item x="493"/>
        <item x="294"/>
        <item x="1450"/>
        <item x="1106"/>
        <item x="911"/>
        <item x="1748"/>
        <item x="727"/>
        <item x="1634"/>
        <item x="509"/>
        <item x="652"/>
        <item x="28"/>
        <item x="366"/>
        <item x="1029"/>
        <item x="981"/>
        <item x="789"/>
        <item x="496"/>
        <item x="1207"/>
        <item x="510"/>
        <item x="484"/>
        <item x="320"/>
        <item x="308"/>
        <item x="1880"/>
        <item x="1741"/>
        <item x="1224"/>
        <item x="595"/>
        <item x="1241"/>
        <item x="316"/>
        <item x="1252"/>
        <item x="1543"/>
        <item x="566"/>
        <item x="1351"/>
        <item x="562"/>
        <item x="1559"/>
        <item x="874"/>
        <item x="745"/>
        <item x="292"/>
        <item x="1606"/>
        <item x="1455"/>
        <item x="827"/>
        <item x="953"/>
        <item x="1853"/>
        <item x="1293"/>
        <item x="234"/>
        <item x="713"/>
        <item x="1468"/>
        <item x="632"/>
        <item x="1257"/>
        <item x="1558"/>
        <item x="1226"/>
        <item x="795"/>
        <item x="300"/>
        <item x="573"/>
        <item x="505"/>
        <item x="487"/>
        <item x="1053"/>
        <item x="1548"/>
        <item x="1425"/>
        <item x="1496"/>
        <item x="491"/>
        <item x="992"/>
        <item x="758"/>
        <item x="742"/>
        <item x="118"/>
        <item x="36"/>
        <item x="825"/>
        <item x="700"/>
        <item x="1075"/>
        <item x="257"/>
        <item x="846"/>
        <item x="822"/>
        <item x="1327"/>
        <item x="38"/>
        <item x="1309"/>
        <item x="483"/>
        <item x="130"/>
        <item x="1804"/>
        <item x="1248"/>
        <item x="1258"/>
        <item x="1234"/>
        <item x="1114"/>
        <item x="838"/>
        <item x="810"/>
        <item x="1407"/>
        <item x="605"/>
        <item x="195"/>
        <item x="1913"/>
        <item x="818"/>
        <item x="387"/>
        <item x="121"/>
        <item x="1031"/>
        <item x="1060"/>
        <item x="759"/>
        <item x="883"/>
        <item x="1917"/>
        <item x="267"/>
        <item x="281"/>
        <item x="720"/>
        <item x="1097"/>
        <item x="534"/>
        <item x="249"/>
        <item x="1730"/>
        <item x="1333"/>
        <item x="1545"/>
        <item x="978"/>
        <item x="1581"/>
        <item x="1338"/>
        <item x="740"/>
        <item x="572"/>
        <item x="1515"/>
        <item x="970"/>
        <item x="1565"/>
        <item x="753"/>
        <item x="1510"/>
        <item x="997"/>
        <item x="806"/>
        <item x="590"/>
        <item x="528"/>
        <item x="1598"/>
        <item x="897"/>
        <item x="844"/>
        <item x="126"/>
        <item x="1238"/>
        <item x="1802"/>
        <item x="252"/>
        <item x="1232"/>
        <item x="87"/>
        <item x="1477"/>
        <item x="1246"/>
        <item x="1518"/>
        <item x="1785"/>
        <item x="1733"/>
        <item x="656"/>
        <item x="642"/>
        <item x="1587"/>
        <item x="259"/>
        <item x="1381"/>
        <item x="1215"/>
        <item x="1235"/>
        <item x="565"/>
        <item x="527"/>
        <item x="579"/>
        <item x="1811"/>
        <item x="1479"/>
        <item x="538"/>
        <item x="479"/>
        <item x="1003"/>
        <item x="1229"/>
        <item x="94"/>
        <item x="1074"/>
        <item x="570"/>
        <item x="138"/>
        <item x="1731"/>
        <item x="264"/>
        <item x="29"/>
        <item x="1094"/>
        <item x="1249"/>
        <item x="1068"/>
        <item x="103"/>
        <item x="1867"/>
        <item x="952"/>
        <item x="492"/>
        <item x="777"/>
        <item x="1266"/>
        <item x="72"/>
        <item x="1380"/>
        <item x="1325"/>
        <item x="1743"/>
        <item x="1552"/>
        <item x="886"/>
        <item x="1847"/>
        <item x="1259"/>
        <item x="968"/>
        <item x="460"/>
        <item x="1287"/>
        <item x="46"/>
        <item x="734"/>
        <item x="798"/>
        <item x="1487"/>
        <item x="1495"/>
        <item x="993"/>
        <item x="1243"/>
        <item x="306"/>
        <item x="1863"/>
        <item x="1841"/>
        <item x="189"/>
        <item x="813"/>
        <item x="321"/>
        <item x="1719"/>
        <item x="985"/>
        <item x="1328"/>
        <item x="569"/>
        <item x="222"/>
        <item x="779"/>
        <item x="891"/>
        <item x="260"/>
        <item x="1825"/>
        <item x="1537"/>
        <item x="1708"/>
        <item x="591"/>
        <item x="671"/>
        <item x="735"/>
        <item x="1291"/>
        <item x="1352"/>
        <item x="1368"/>
        <item x="1540"/>
        <item x="42"/>
        <item x="837"/>
        <item x="1729"/>
        <item x="1835"/>
        <item x="1702"/>
        <item x="1004"/>
        <item x="1836"/>
        <item x="1872"/>
        <item x="847"/>
        <item x="816"/>
        <item x="904"/>
        <item x="502"/>
        <item x="520"/>
        <item x="1760"/>
        <item x="1374"/>
        <item x="78"/>
        <item x="225"/>
        <item x="723"/>
        <item x="332"/>
        <item x="1754"/>
        <item x="254"/>
        <item x="243"/>
        <item x="1087"/>
        <item x="1099"/>
        <item x="319"/>
        <item x="1485"/>
        <item x="1165"/>
        <item x="385"/>
        <item x="708"/>
        <item x="1044"/>
        <item x="1296"/>
        <item x="266"/>
        <item x="552"/>
        <item x="785"/>
        <item x="1735"/>
        <item x="324"/>
        <item x="1807"/>
        <item x="1033"/>
        <item x="462"/>
        <item x="417"/>
        <item x="1032"/>
        <item x="1379"/>
        <item x="188"/>
        <item x="507"/>
        <item x="998"/>
        <item x="1414"/>
        <item x="37"/>
        <item x="6"/>
        <item x="1275"/>
        <item x="1082"/>
        <item x="340"/>
        <item x="1771"/>
        <item x="1765"/>
        <item x="1217"/>
        <item x="1637"/>
        <item x="555"/>
        <item x="1281"/>
        <item x="341"/>
        <item x="120"/>
        <item x="194"/>
        <item x="454"/>
        <item x="1288"/>
        <item x="1337"/>
        <item x="854"/>
        <item x="1405"/>
        <item x="1716"/>
        <item x="90"/>
        <item x="1092"/>
        <item x="39"/>
        <item x="284"/>
        <item x="1801"/>
        <item x="149"/>
        <item x="1221"/>
        <item x="423"/>
        <item x="450"/>
        <item x="1546"/>
        <item x="1793"/>
        <item x="276"/>
        <item x="420"/>
        <item x="1813"/>
        <item x="666"/>
        <item x="1562"/>
        <item x="1329"/>
        <item x="25"/>
        <item x="1821"/>
        <item x="801"/>
        <item x="1071"/>
        <item x="1397"/>
        <item x="75"/>
        <item x="657"/>
        <item x="338"/>
        <item x="905"/>
        <item x="865"/>
        <item x="160"/>
        <item x="183"/>
        <item x="364"/>
        <item x="1805"/>
        <item x="1000"/>
        <item x="1299"/>
        <item x="1295"/>
        <item x="582"/>
        <item x="1704"/>
        <item x="1473"/>
        <item x="729"/>
        <item x="861"/>
        <item x="842"/>
        <item x="236"/>
        <item x="64"/>
        <item x="597"/>
        <item x="557"/>
        <item x="648"/>
        <item x="1505"/>
        <item x="1445"/>
        <item x="1011"/>
        <item x="1866"/>
        <item x="305"/>
        <item x="1049"/>
        <item x="917"/>
        <item x="530"/>
        <item x="1209"/>
        <item x="132"/>
        <item x="755"/>
        <item x="1727"/>
        <item x="1629"/>
        <item x="1055"/>
        <item x="1879"/>
        <item x="1237"/>
        <item x="613"/>
        <item x="607"/>
        <item x="577"/>
        <item x="732"/>
        <item x="1876"/>
        <item x="408"/>
        <item x="1272"/>
        <item x="1474"/>
        <item x="1088"/>
        <item x="1195"/>
        <item x="61"/>
        <item x="1290"/>
        <item x="804"/>
        <item x="1240"/>
        <item x="97"/>
        <item x="815"/>
        <item x="919"/>
        <item x="123"/>
        <item x="571"/>
        <item x="1304"/>
        <item x="1745"/>
        <item x="1303"/>
        <item x="523"/>
        <item x="358"/>
        <item x="1590"/>
        <item x="360"/>
        <item x="1572"/>
        <item x="1599"/>
        <item x="1602"/>
        <item x="345"/>
        <item x="1770"/>
        <item x="586"/>
        <item x="1523"/>
        <item x="2"/>
        <item x="49"/>
        <item x="1050"/>
        <item x="1653"/>
        <item x="1677"/>
        <item x="1665"/>
        <item x="1377"/>
        <item x="616"/>
        <item x="1538"/>
        <item x="1413"/>
        <item x="477"/>
        <item x="722"/>
        <item x="1110"/>
        <item x="1895"/>
        <item x="374"/>
        <item x="1080"/>
        <item x="263"/>
        <item x="775"/>
        <item x="1349"/>
        <item x="673"/>
        <item x="1844"/>
        <item x="1642"/>
        <item x="849"/>
        <item x="323"/>
        <item x="1611"/>
        <item x="1576"/>
        <item x="1722"/>
        <item x="1840"/>
        <item x="271"/>
        <item x="957"/>
        <item x="1833"/>
        <item x="1465"/>
        <item x="365"/>
        <item x="596"/>
        <item x="639"/>
        <item x="1608"/>
        <item x="1831"/>
        <item x="196"/>
        <item x="248"/>
        <item x="1532"/>
        <item x="1409"/>
        <item x="330"/>
        <item x="410"/>
        <item x="1372"/>
        <item x="1663"/>
        <item x="20"/>
        <item x="414"/>
        <item x="314"/>
        <item x="1163"/>
        <item x="1573"/>
        <item x="1188"/>
        <item x="950"/>
        <item x="1043"/>
        <item x="1542"/>
        <item x="472"/>
        <item x="1214"/>
        <item x="1755"/>
        <item x="119"/>
        <item x="1809"/>
        <item x="192"/>
        <item x="1839"/>
        <item x="1732"/>
        <item x="896"/>
        <item x="1859"/>
        <item x="808"/>
        <item x="756"/>
        <item x="1678"/>
        <item x="1519"/>
        <item x="193"/>
        <item x="1864"/>
        <item x="1658"/>
        <item x="1539"/>
        <item x="245"/>
        <item x="503"/>
        <item x="1522"/>
        <item x="1798"/>
        <item x="608"/>
        <item x="363"/>
        <item x="774"/>
        <item x="979"/>
        <item x="84"/>
        <item x="125"/>
        <item x="198"/>
        <item x="1373"/>
        <item x="322"/>
        <item x="703"/>
        <item x="137"/>
        <item x="1125"/>
        <item x="1567"/>
        <item x="1002"/>
        <item x="166"/>
        <item x="1211"/>
        <item x="1136"/>
        <item x="819"/>
        <item x="1045"/>
        <item x="1672"/>
        <item x="1898"/>
        <item x="1734"/>
        <item x="1586"/>
        <item x="101"/>
        <item x="1856"/>
        <item x="624"/>
        <item x="335"/>
        <item x="1219"/>
        <item x="456"/>
        <item x="1799"/>
        <item x="1264"/>
        <item x="331"/>
        <item x="431"/>
        <item x="1648"/>
        <item x="1779"/>
        <item x="1197"/>
        <item x="1816"/>
        <item x="1298"/>
        <item x="1007"/>
        <item x="730"/>
        <item x="682"/>
        <item x="1795"/>
        <item x="134"/>
        <item x="384"/>
        <item x="1517"/>
        <item x="558"/>
        <item x="667"/>
        <item x="541"/>
        <item x="1294"/>
        <item x="1582"/>
        <item x="803"/>
        <item x="1868"/>
        <item x="1085"/>
        <item x="289"/>
        <item x="1536"/>
        <item x="929"/>
        <item x="1412"/>
        <item x="242"/>
        <item x="150"/>
        <item x="1527"/>
        <item x="89"/>
        <item x="776"/>
        <item x="743"/>
        <item x="1886"/>
        <item x="1666"/>
        <item x="1273"/>
        <item x="1908"/>
        <item x="986"/>
        <item x="757"/>
        <item x="145"/>
        <item x="1271"/>
        <item x="1022"/>
        <item x="1918"/>
        <item x="268"/>
        <item x="1553"/>
        <item x="641"/>
        <item x="908"/>
        <item x="1116"/>
        <item x="359"/>
        <item x="658"/>
        <item x="151"/>
        <item x="297"/>
        <item x="1654"/>
        <item x="162"/>
        <item x="346"/>
        <item x="1024"/>
        <item x="1684"/>
        <item x="799"/>
        <item x="1187"/>
        <item x="116"/>
        <item x="651"/>
        <item x="547"/>
        <item x="1874"/>
        <item x="578"/>
        <item x="279"/>
        <item x="1324"/>
        <item x="748"/>
        <item x="1191"/>
        <item x="600"/>
        <item x="1607"/>
        <item x="841"/>
        <item x="1822"/>
        <item x="778"/>
        <item x="1131"/>
        <item x="858"/>
        <item x="1664"/>
        <item x="282"/>
        <item x="1006"/>
        <item x="129"/>
        <item x="1101"/>
        <item x="659"/>
        <item x="814"/>
        <item x="52"/>
        <item x="1206"/>
        <item x="1780"/>
        <item x="80"/>
        <item x="1618"/>
        <item x="826"/>
        <item x="1408"/>
        <item x="1233"/>
        <item x="1436"/>
        <item x="1361"/>
        <item x="303"/>
        <item x="654"/>
        <item x="1067"/>
        <item x="663"/>
        <item x="272"/>
        <item x="1152"/>
        <item x="154"/>
        <item x="311"/>
        <item x="1525"/>
        <item x="336"/>
        <item x="383"/>
        <item x="584"/>
        <item x="313"/>
        <item x="156"/>
        <item x="184"/>
        <item x="1556"/>
        <item x="1596"/>
        <item x="524"/>
        <item x="67"/>
        <item x="1915"/>
        <item x="1286"/>
        <item x="386"/>
        <item x="178"/>
        <item x="928"/>
        <item x="623"/>
        <item x="1353"/>
        <item x="1424"/>
        <item x="437"/>
        <item x="823"/>
        <item x="869"/>
        <item x="1584"/>
        <item x="481"/>
        <item x="1326"/>
        <item x="1251"/>
        <item x="168"/>
        <item x="1887"/>
        <item x="307"/>
        <item x="1778"/>
        <item x="1364"/>
        <item x="216"/>
        <item x="1854"/>
        <item x="1023"/>
        <item x="14"/>
        <item x="956"/>
        <item x="1070"/>
        <item x="1651"/>
        <item x="706"/>
        <item x="1458"/>
        <item x="921"/>
        <item x="719"/>
        <item x="1520"/>
        <item x="554"/>
        <item x="855"/>
        <item x="1245"/>
        <item x="1814"/>
        <item x="1456"/>
        <item x="1797"/>
        <item x="575"/>
        <item x="100"/>
        <item x="1914"/>
        <item x="1428"/>
        <item x="357"/>
        <item x="1350"/>
        <item x="718"/>
        <item x="1904"/>
        <item x="1285"/>
        <item x="1855"/>
        <item x="792"/>
        <item x="1498"/>
        <item x="333"/>
        <item x="1061"/>
        <item x="1828"/>
        <item x="1065"/>
        <item x="1315"/>
        <item x="1775"/>
        <item x="1320"/>
        <item x="1186"/>
        <item x="1098"/>
        <item x="1300"/>
        <item x="421"/>
        <item x="1600"/>
        <item x="1747"/>
        <item x="370"/>
        <item x="1153"/>
        <item x="879"/>
        <item x="796"/>
        <item x="1126"/>
        <item x="1357"/>
        <item x="1423"/>
        <item x="1877"/>
        <item x="1317"/>
        <item x="1661"/>
        <item x="1633"/>
        <item x="399"/>
        <item x="1595"/>
        <item x="726"/>
        <item x="1901"/>
        <item x="915"/>
        <item x="433"/>
        <item x="1454"/>
        <item x="1331"/>
        <item x="1250"/>
        <item x="784"/>
        <item x="749"/>
        <item x="1693"/>
        <item x="895"/>
        <item x="1481"/>
        <item x="406"/>
        <item x="171"/>
        <item x="1336"/>
        <item x="1646"/>
        <item x="113"/>
        <item x="177"/>
        <item x="860"/>
        <item x="1383"/>
        <item x="1276"/>
        <item x="288"/>
        <item x="159"/>
        <item x="1668"/>
        <item x="461"/>
        <item x="381"/>
        <item x="902"/>
        <item x="1907"/>
        <item x="1838"/>
        <item x="273"/>
        <item x="772"/>
        <item x="1386"/>
        <item x="912"/>
        <item x="1358"/>
        <item x="684"/>
        <item x="367"/>
        <item x="327"/>
        <item x="812"/>
        <item x="1375"/>
        <item x="1826"/>
        <item x="229"/>
        <item x="180"/>
        <item x="907"/>
        <item x="973"/>
        <item x="1052"/>
        <item x="1416"/>
        <item x="535"/>
        <item x="705"/>
        <item x="1171"/>
        <item x="1707"/>
        <item x="1105"/>
        <item x="1156"/>
        <item x="913"/>
        <item x="1921"/>
        <item x="1283"/>
        <item x="1806"/>
        <item x="900"/>
        <item x="1593"/>
        <item x="924"/>
        <item x="8"/>
        <item x="1899"/>
        <item x="1418"/>
        <item x="1896"/>
        <item x="1810"/>
        <item x="1736"/>
        <item x="253"/>
        <item x="347"/>
        <item x="1640"/>
        <item x="146"/>
        <item x="1461"/>
        <item x="1554"/>
        <item x="1330"/>
        <item x="866"/>
        <item x="223"/>
        <item x="1657"/>
        <item x="1419"/>
        <item x="206"/>
        <item x="1297"/>
        <item x="1547"/>
        <item x="1012"/>
        <item x="875"/>
        <item x="401"/>
        <item x="1564"/>
        <item x="1177"/>
        <item x="1343"/>
        <item x="1356"/>
        <item x="831"/>
        <item x="391"/>
        <item x="1279"/>
        <item x="959"/>
        <item x="1242"/>
        <item x="618"/>
        <item x="419"/>
        <item x="197"/>
        <item x="1323"/>
        <item x="1111"/>
        <item x="1903"/>
        <item x="1845"/>
        <item x="1034"/>
        <item x="1529"/>
        <item x="1791"/>
        <item x="1713"/>
        <item x="202"/>
        <item x="1783"/>
        <item x="1143"/>
        <item x="945"/>
        <item x="318"/>
        <item x="1502"/>
        <item x="1341"/>
        <item x="1083"/>
        <item x="620"/>
        <item x="628"/>
        <item x="1873"/>
        <item x="1589"/>
        <item x="556"/>
        <item x="941"/>
        <item x="31"/>
        <item x="1929"/>
        <item x="576"/>
        <item x="1580"/>
        <item x="428"/>
        <item x="638"/>
        <item x="1605"/>
        <item x="1603"/>
        <item x="676"/>
        <item x="1794"/>
        <item x="369"/>
        <item x="1220"/>
        <item x="1819"/>
        <item x="588"/>
        <item x="1282"/>
        <item x="1504"/>
        <item x="33"/>
        <item x="1767"/>
        <item x="834"/>
        <item x="969"/>
        <item x="88"/>
        <item x="754"/>
        <item x="1857"/>
        <item x="334"/>
        <item x="1850"/>
        <item x="432"/>
        <item x="983"/>
        <item x="521"/>
        <item x="1312"/>
        <item x="1168"/>
        <item x="1614"/>
        <item x="1784"/>
        <item x="1645"/>
        <item x="828"/>
        <item x="1905"/>
        <item x="1415"/>
        <item x="1753"/>
        <item x="1925"/>
        <item x="592"/>
        <item x="1109"/>
        <item x="312"/>
        <item x="475"/>
        <item x="1160"/>
        <item x="62"/>
        <item x="553"/>
        <item x="674"/>
        <item x="1162"/>
        <item x="568"/>
        <item x="1768"/>
        <item x="1081"/>
        <item x="1675"/>
        <item x="1469"/>
        <item x="760"/>
        <item x="1723"/>
        <item x="1089"/>
        <item x="1122"/>
        <item x="9"/>
        <item x="93"/>
        <item x="1574"/>
        <item x="1253"/>
        <item x="1056"/>
        <item x="1681"/>
        <item x="1560"/>
        <item x="864"/>
        <item x="972"/>
        <item x="1107"/>
        <item x="1812"/>
        <item x="10"/>
        <item x="1788"/>
        <item x="343"/>
        <item x="79"/>
        <item x="377"/>
        <item x="1441"/>
        <item x="876"/>
        <item x="1175"/>
        <item x="1885"/>
        <item x="376"/>
        <item x="1384"/>
        <item x="402"/>
        <item x="707"/>
        <item x="1403"/>
        <item x="1174"/>
        <item x="593"/>
        <item x="190"/>
        <item x="910"/>
        <item x="1440"/>
        <item x="1178"/>
        <item x="1411"/>
        <item x="1758"/>
        <item x="965"/>
        <item x="545"/>
        <item x="630"/>
        <item x="1622"/>
        <item x="1095"/>
        <item x="786"/>
        <item x="476"/>
        <item x="262"/>
        <item x="1492"/>
        <item x="1883"/>
        <item x="1656"/>
        <item x="678"/>
        <item x="848"/>
        <item x="91"/>
        <item x="1628"/>
        <item x="471"/>
        <item x="1571"/>
        <item x="1431"/>
        <item x="1348"/>
        <item x="862"/>
        <item x="1147"/>
        <item x="1803"/>
        <item x="1575"/>
        <item x="599"/>
        <item x="368"/>
        <item x="71"/>
        <item x="112"/>
        <item x="1818"/>
        <item x="393"/>
        <item x="1679"/>
        <item x="925"/>
        <item x="537"/>
        <item x="672"/>
        <item x="1121"/>
        <item x="1752"/>
        <item x="269"/>
        <item x="1308"/>
        <item x="1852"/>
        <item x="604"/>
        <item x="468"/>
        <item x="594"/>
        <item x="43"/>
        <item x="687"/>
        <item x="926"/>
        <item x="709"/>
        <item x="807"/>
        <item x="1617"/>
        <item x="1579"/>
        <item x="1882"/>
        <item x="892"/>
        <item x="660"/>
        <item x="612"/>
        <item x="13"/>
        <item x="737"/>
        <item x="1054"/>
        <item x="111"/>
        <item x="824"/>
        <item x="1124"/>
        <item x="1189"/>
        <item x="728"/>
        <item x="1604"/>
        <item x="1881"/>
        <item x="1862"/>
        <item x="1334"/>
        <item x="1104"/>
        <item x="655"/>
        <item x="1198"/>
        <item x="539"/>
        <item x="546"/>
        <item x="1145"/>
        <item x="1347"/>
        <item x="701"/>
        <item x="167"/>
        <item x="1365"/>
        <item x="1451"/>
        <item x="1641"/>
        <item x="1037"/>
        <item x="987"/>
        <item x="680"/>
        <item x="514"/>
        <item x="394"/>
        <item x="1289"/>
        <item x="797"/>
        <item x="1676"/>
        <item x="1609"/>
        <item x="995"/>
        <item x="1244"/>
        <item x="1894"/>
        <item x="48"/>
        <item x="1202"/>
        <item x="99"/>
        <item x="821"/>
        <item x="247"/>
        <item x="543"/>
        <item x="1135"/>
        <item x="1149"/>
        <item x="1541"/>
        <item x="1888"/>
        <item x="704"/>
        <item x="40"/>
        <item x="1047"/>
        <item x="636"/>
        <item x="500"/>
        <item x="1084"/>
        <item x="95"/>
        <item x="60"/>
        <item x="1340"/>
        <item x="880"/>
        <item x="1154"/>
        <item x="1069"/>
        <item x="859"/>
        <item x="899"/>
        <item x="811"/>
        <item x="104"/>
        <item x="407"/>
        <item x="1382"/>
        <item x="762"/>
        <item x="1514"/>
        <item x="1858"/>
        <item x="434"/>
        <item x="793"/>
        <item x="1623"/>
        <item x="1406"/>
        <item x="790"/>
        <item x="74"/>
        <item x="1912"/>
        <item x="1781"/>
        <item x="92"/>
        <item x="201"/>
        <item x="1039"/>
        <item x="1776"/>
        <item x="1117"/>
        <item x="1531"/>
        <item x="148"/>
        <item x="1057"/>
        <item x="1376"/>
        <item x="356"/>
        <item x="791"/>
        <item x="1170"/>
        <item x="1625"/>
        <item x="946"/>
        <item x="1212"/>
        <item x="1319"/>
        <item x="1766"/>
        <item x="851"/>
        <item x="155"/>
        <item x="352"/>
        <item x="559"/>
        <item x="1476"/>
        <item x="932"/>
        <item x="1091"/>
        <item x="1369"/>
        <item x="1335"/>
        <item x="210"/>
        <item x="448"/>
        <item x="845"/>
        <item x="1782"/>
        <item x="1577"/>
        <item x="1176"/>
        <item x="889"/>
        <item x="1021"/>
        <item x="1263"/>
        <item x="1268"/>
        <item x="1869"/>
        <item x="1865"/>
        <item x="619"/>
        <item x="1316"/>
        <item x="1655"/>
        <item x="1134"/>
        <item x="405"/>
        <item x="413"/>
        <item x="868"/>
        <item x="1362"/>
        <item x="301"/>
        <item x="1076"/>
        <item x="1683"/>
        <item x="664"/>
        <item x="1113"/>
        <item x="1649"/>
        <item x="882"/>
        <item x="1158"/>
        <item x="1046"/>
        <item x="1118"/>
        <item x="906"/>
        <item x="1777"/>
        <item x="1146"/>
        <item x="1155"/>
        <item x="108"/>
        <item x="1815"/>
        <item x="835"/>
        <item x="1889"/>
        <item x="1430"/>
        <item x="351"/>
        <item x="922"/>
        <item x="1265"/>
        <item x="169"/>
        <item x="382"/>
        <item x="1142"/>
        <item x="884"/>
        <item x="836"/>
        <item x="1302"/>
        <item x="739"/>
        <item x="901"/>
        <item x="544"/>
        <item x="81"/>
        <item x="1624"/>
        <item x="645"/>
        <item x="1890"/>
        <item x="1402"/>
        <item x="203"/>
        <item x="1830"/>
        <item x="1417"/>
        <item x="1051"/>
        <item x="1284"/>
        <item x="1568"/>
        <item x="1871"/>
        <item x="668"/>
        <item x="679"/>
        <item x="429"/>
        <item x="430"/>
        <item x="86"/>
        <item x="766"/>
        <item x="637"/>
        <item x="832"/>
        <item x="415"/>
        <item x="989"/>
        <item x="446"/>
        <item x="1100"/>
        <item x="1133"/>
        <item x="1769"/>
        <item x="1891"/>
        <item x="274"/>
        <item x="606"/>
        <item x="1395"/>
        <item x="1667"/>
        <item x="1148"/>
        <item x="1079"/>
        <item x="710"/>
        <item x="1591"/>
        <item x="1026"/>
        <item x="1180"/>
        <item x="1115"/>
        <item x="3"/>
        <item x="622"/>
        <item x="890"/>
        <item x="1394"/>
        <item x="1670"/>
        <item x="773"/>
        <item x="1367"/>
        <item x="34"/>
        <item x="614"/>
        <item x="1528"/>
        <item x="1342"/>
        <item x="1123"/>
        <item x="918"/>
        <item x="1132"/>
        <item x="611"/>
        <item x="441"/>
        <item x="1141"/>
        <item x="1621"/>
        <item x="390"/>
        <item x="55"/>
        <item x="937"/>
        <item x="1592"/>
        <item x="1526"/>
        <item x="1346"/>
        <item x="583"/>
        <item x="1429"/>
        <item x="76"/>
        <item x="1557"/>
        <item x="68"/>
        <item x="1093"/>
        <item x="1086"/>
        <item x="1790"/>
        <item x="1697"/>
        <item x="373"/>
        <item x="380"/>
        <item x="69"/>
        <item x="829"/>
        <item x="418"/>
        <item x="170"/>
        <item x="1059"/>
        <item x="1472"/>
        <item x="1129"/>
        <item x="670"/>
        <item x="695"/>
        <item x="1150"/>
        <item x="644"/>
        <item x="1427"/>
        <item x="5"/>
        <item x="1834"/>
        <item x="227"/>
        <item x="485"/>
        <item x="733"/>
        <item x="980"/>
        <item x="1550"/>
        <item x="1169"/>
        <item x="426"/>
        <item x="153"/>
        <item x="436"/>
        <item x="24"/>
        <item x="350"/>
        <item x="1453"/>
        <item x="1823"/>
        <item x="1192"/>
        <item x="1144"/>
        <item x="53"/>
        <item x="152"/>
        <item x="379"/>
        <item x="1204"/>
        <item x="1442"/>
        <item x="286"/>
        <item x="1612"/>
        <item x="1400"/>
        <item x="427"/>
        <item x="208"/>
        <item x="751"/>
        <item x="610"/>
        <item x="458"/>
        <item x="1636"/>
        <item x="1127"/>
        <item x="1167"/>
        <item x="1305"/>
        <item x="179"/>
        <item x="1420"/>
        <item x="878"/>
        <item x="898"/>
        <item x="1388"/>
        <item x="643"/>
        <item x="627"/>
        <item x="940"/>
        <item x="893"/>
        <item x="916"/>
        <item x="1063"/>
        <item x="1443"/>
        <item x="863"/>
        <item x="1644"/>
        <item x="1632"/>
        <item x="1137"/>
        <item x="931"/>
        <item x="935"/>
        <item x="683"/>
        <item x="1551"/>
        <item x="58"/>
        <item x="1387"/>
        <item x="1307"/>
        <item x="1410"/>
        <item x="689"/>
        <item x="1530"/>
        <item x="1613"/>
        <item x="388"/>
        <item x="1422"/>
        <item x="1225"/>
        <item x="1926"/>
        <item x="699"/>
        <item x="57"/>
        <item x="207"/>
        <item x="141"/>
        <item x="885"/>
        <item x="438"/>
        <item x="1597"/>
        <item x="909"/>
        <item x="1878"/>
        <item x="1354"/>
        <item x="820"/>
        <item x="158"/>
        <item x="1448"/>
        <item x="1139"/>
        <item x="1680"/>
        <item x="649"/>
        <item x="1173"/>
        <item x="375"/>
        <item x="1829"/>
        <item x="1616"/>
        <item x="1166"/>
        <item x="693"/>
        <item x="1689"/>
        <item x="688"/>
        <item x="325"/>
        <item x="218"/>
        <item x="403"/>
        <item x="176"/>
        <item x="1036"/>
        <item x="109"/>
        <item x="444"/>
        <item x="1393"/>
        <item x="1438"/>
        <item x="185"/>
        <item x="411"/>
        <item x="412"/>
        <item x="1660"/>
        <item x="1659"/>
        <item x="1058"/>
        <item x="930"/>
        <item x="425"/>
        <item x="1480"/>
        <item x="696"/>
        <item x="522"/>
        <item x="877"/>
        <item x="1205"/>
        <item x="881"/>
        <item x="304"/>
        <item x="646"/>
        <item x="1313"/>
        <item x="144"/>
        <item x="1200"/>
        <item x="1073"/>
        <item x="1686"/>
        <item x="1366"/>
        <item x="1433"/>
        <item x="1631"/>
        <item x="1849"/>
        <item x="1194"/>
        <item x="1390"/>
        <item x="1647"/>
        <item x="175"/>
        <item x="1435"/>
        <item x="923"/>
        <item x="140"/>
        <item x="1190"/>
        <item x="1652"/>
        <item x="963"/>
        <item x="853"/>
        <item x="1601"/>
        <item x="852"/>
        <item x="1392"/>
        <item x="1842"/>
        <item x="948"/>
        <item x="1040"/>
        <item x="1421"/>
        <item x="214"/>
        <item x="1482"/>
        <item x="677"/>
        <item x="1157"/>
        <item x="1161"/>
        <item x="400"/>
        <item x="903"/>
        <item x="1909"/>
        <item x="1669"/>
        <item x="927"/>
        <item x="181"/>
        <item x="1619"/>
        <item x="551"/>
        <item x="1897"/>
        <item x="1360"/>
        <item x="172"/>
        <item x="135"/>
        <item x="609"/>
        <item x="933"/>
        <item x="867"/>
        <item x="675"/>
        <item x="1610"/>
        <item x="629"/>
        <item x="4"/>
        <item x="870"/>
        <item x="887"/>
        <item x="445"/>
        <item x="967"/>
        <item x="389"/>
        <item x="947"/>
        <item x="142"/>
        <item x="856"/>
        <item x="1920"/>
        <item x="1355"/>
        <item x="1696"/>
        <item x="1846"/>
        <item x="1694"/>
        <item x="251"/>
        <item x="200"/>
        <item x="1389"/>
        <item x="954"/>
        <item x="1151"/>
        <item x="1385"/>
        <item x="1927"/>
        <item x="182"/>
        <item x="1112"/>
        <item x="440"/>
        <item x="1396"/>
        <item x="96"/>
        <item x="1199"/>
        <item x="422"/>
        <item x="1138"/>
        <item x="1928"/>
        <item x="698"/>
        <item x="1447"/>
        <item x="894"/>
        <item x="1870"/>
        <item x="621"/>
        <item x="1183"/>
        <item x="1643"/>
        <item x="164"/>
        <item x="1626"/>
        <item x="173"/>
        <item x="131"/>
        <item x="1119"/>
        <item x="35"/>
        <item x="685"/>
        <item x="681"/>
        <item x="1434"/>
        <item x="1893"/>
        <item x="943"/>
        <item x="787"/>
        <item x="938"/>
        <item x="1687"/>
        <item x="1837"/>
        <item x="936"/>
        <item x="1761"/>
        <item x="1164"/>
        <item x="1650"/>
        <item x="692"/>
        <item x="1902"/>
        <item x="1437"/>
        <item x="1875"/>
        <item x="1203"/>
        <item x="1820"/>
        <item x="12"/>
        <item x="653"/>
        <item x="1459"/>
        <item x="914"/>
        <item x="694"/>
        <item x="1120"/>
        <item x="442"/>
        <item x="633"/>
        <item x="212"/>
        <item x="939"/>
        <item x="1638"/>
        <item x="1892"/>
        <item x="1860"/>
        <item x="1673"/>
        <item x="465"/>
        <item x="1201"/>
        <item x="771"/>
        <item x="1923"/>
        <item x="449"/>
        <item x="697"/>
        <item x="1692"/>
        <item x="840"/>
        <item x="1391"/>
        <item x="1720"/>
        <item x="143"/>
        <item x="988"/>
        <item x="1401"/>
        <item x="1196"/>
        <item x="21"/>
        <item x="788"/>
        <item x="1691"/>
        <item x="1620"/>
        <item x="944"/>
        <item x="238"/>
        <item x="635"/>
        <item x="1662"/>
        <item x="378"/>
        <item x="511"/>
        <item x="1028"/>
        <item x="1900"/>
        <item x="888"/>
        <item x="1919"/>
        <item x="991"/>
        <item x="1344"/>
        <item x="1159"/>
        <item x="1140"/>
        <item x="724"/>
        <item x="1292"/>
        <item x="1179"/>
        <item x="228"/>
        <item x="1444"/>
        <item x="873"/>
        <item x="117"/>
        <item x="1262"/>
        <item x="1439"/>
        <item x="372"/>
        <item x="1569"/>
        <item x="615"/>
        <item x="447"/>
        <item x="217"/>
        <item x="669"/>
        <item x="416"/>
        <item x="1363"/>
        <item x="174"/>
        <item x="1910"/>
        <item x="515"/>
        <item x="409"/>
        <item x="1583"/>
        <item x="951"/>
        <item x="209"/>
        <item x="404"/>
        <item x="843"/>
        <item x="1906"/>
        <item x="1763"/>
        <item x="1463"/>
        <item x="44"/>
        <item x="1426"/>
        <item x="211"/>
        <item x="16"/>
        <item x="395"/>
        <item x="1378"/>
        <item x="1128"/>
        <item x="949"/>
        <item x="661"/>
        <item x="1635"/>
        <item x="124"/>
        <item x="920"/>
        <item x="371"/>
        <item x="51"/>
        <item x="435"/>
        <item x="686"/>
        <item x="199"/>
        <item x="1193"/>
        <item x="691"/>
        <item x="219"/>
        <item x="136"/>
        <item x="165"/>
        <item x="1446"/>
        <item x="934"/>
        <item x="1916"/>
        <item x="1182"/>
        <item x="1690"/>
        <item x="147"/>
        <item x="439"/>
        <item x="540"/>
        <item x="1432"/>
        <item x="205"/>
        <item x="204"/>
        <item x="1674"/>
        <item x="1671"/>
        <item x="213"/>
        <item x="942"/>
        <item x="398"/>
        <item x="1172"/>
        <item x="765"/>
        <item x="1685"/>
        <item x="215"/>
        <item x="1345"/>
        <item x="7"/>
        <item x="133"/>
        <item x="1740"/>
        <item x="285"/>
        <item x="220"/>
        <item x="1184"/>
        <item x="70"/>
        <item x="191"/>
        <item x="280"/>
        <item x="1512"/>
        <item x="1832"/>
        <item x="128"/>
        <item x="85"/>
        <item x="344"/>
        <item x="1254"/>
        <item x="139"/>
        <item x="850"/>
        <item x="741"/>
        <item x="221"/>
        <item x="83"/>
        <item x="1695"/>
        <item x="187"/>
        <item x="1017"/>
        <item x="1404"/>
        <item x="1688"/>
        <item x="488"/>
        <item x="984"/>
        <item x="1230"/>
        <item x="163"/>
        <item x="186"/>
        <item x="54"/>
        <item t="default"/>
      </items>
    </pivotField>
    <pivotField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a de Valor Pago" fld="5" baseField="0" baseItem="0"/>
  </dataFields>
  <formats count="2">
    <format dxfId="0">
      <pivotArea outline="0" collapsedLevelsAreSubtotals="1" fieldPosition="0"/>
    </format>
    <format dxfId="1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C46E2-97E1-47D7-B609-3BD8EE5ADAF8}" name="Tabela dinâmica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D2:E11" firstHeaderRow="1" firstDataRow="1" firstDataCol="1"/>
  <pivotFields count="8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>
      <items count="1931">
        <item x="1399"/>
        <item x="603"/>
        <item x="1627"/>
        <item x="1306"/>
        <item x="809"/>
        <item x="640"/>
        <item x="283"/>
        <item x="326"/>
        <item x="1924"/>
        <item x="1185"/>
        <item x="1594"/>
        <item x="662"/>
        <item x="392"/>
        <item x="443"/>
        <item x="1682"/>
        <item x="512"/>
        <item x="361"/>
        <item x="782"/>
        <item x="1922"/>
        <item x="581"/>
        <item x="1712"/>
        <item x="533"/>
        <item x="1764"/>
        <item x="542"/>
        <item x="1824"/>
        <item x="625"/>
        <item x="650"/>
        <item x="455"/>
        <item x="506"/>
        <item x="585"/>
        <item x="1774"/>
        <item x="1371"/>
        <item x="817"/>
        <item x="631"/>
        <item x="230"/>
        <item x="258"/>
        <item x="494"/>
        <item x="665"/>
        <item x="349"/>
        <item x="1507"/>
        <item x="561"/>
        <item x="626"/>
        <item x="602"/>
        <item x="451"/>
        <item x="480"/>
        <item x="580"/>
        <item x="1010"/>
        <item x="486"/>
        <item x="548"/>
        <item x="550"/>
        <item x="1267"/>
        <item x="459"/>
        <item x="1759"/>
        <item x="231"/>
        <item x="1322"/>
        <item x="1222"/>
        <item x="1808"/>
        <item x="1563"/>
        <item x="1218"/>
        <item x="712"/>
        <item x="1460"/>
        <item x="342"/>
        <item x="560"/>
        <item x="508"/>
        <item x="353"/>
        <item x="1493"/>
        <item x="519"/>
        <item x="574"/>
        <item x="1848"/>
        <item x="457"/>
        <item x="424"/>
        <item x="1488"/>
        <item x="1398"/>
        <item x="495"/>
        <item x="463"/>
        <item x="1884"/>
        <item x="763"/>
        <item x="567"/>
        <item x="504"/>
        <item x="1710"/>
        <item x="1534"/>
        <item x="1570"/>
        <item x="1851"/>
        <item x="1005"/>
        <item x="1706"/>
        <item x="337"/>
        <item x="1827"/>
        <item x="1533"/>
        <item x="721"/>
        <item x="1639"/>
        <item x="1001"/>
        <item x="1511"/>
        <item x="1321"/>
        <item x="1800"/>
        <item x="1484"/>
        <item x="1102"/>
        <item x="1078"/>
        <item x="397"/>
        <item x="235"/>
        <item x="1698"/>
        <item x="716"/>
        <item x="1270"/>
        <item x="315"/>
        <item x="780"/>
        <item x="1020"/>
        <item x="1489"/>
        <item x="1566"/>
        <item x="736"/>
        <item x="857"/>
        <item x="752"/>
        <item x="833"/>
        <item x="1228"/>
        <item x="241"/>
        <item x="1035"/>
        <item x="1041"/>
        <item x="715"/>
        <item x="1494"/>
        <item x="0"/>
        <item x="1513"/>
        <item x="1756"/>
        <item x="47"/>
        <item x="309"/>
        <item x="497"/>
        <item x="532"/>
        <item x="466"/>
        <item x="296"/>
        <item x="960"/>
        <item x="531"/>
        <item x="744"/>
        <item x="1738"/>
        <item x="1062"/>
        <item x="478"/>
        <item x="299"/>
        <item x="738"/>
        <item x="1096"/>
        <item x="1236"/>
        <item x="1544"/>
        <item x="1796"/>
        <item x="1711"/>
        <item x="453"/>
        <item x="11"/>
        <item x="1210"/>
        <item x="102"/>
        <item x="63"/>
        <item x="27"/>
        <item x="1705"/>
        <item x="32"/>
        <item x="1048"/>
        <item x="328"/>
        <item x="354"/>
        <item x="106"/>
        <item x="1339"/>
        <item x="518"/>
        <item x="1751"/>
        <item x="110"/>
        <item x="1311"/>
        <item x="15"/>
        <item x="467"/>
        <item x="82"/>
        <item x="1762"/>
        <item x="1231"/>
        <item x="1471"/>
        <item x="746"/>
        <item x="1280"/>
        <item x="114"/>
        <item x="768"/>
        <item x="783"/>
        <item x="1314"/>
        <item x="999"/>
        <item x="127"/>
        <item x="19"/>
        <item x="339"/>
        <item x="1256"/>
        <item x="1742"/>
        <item x="73"/>
        <item x="261"/>
        <item x="161"/>
        <item x="474"/>
        <item x="1703"/>
        <item x="1714"/>
        <item x="1700"/>
        <item x="107"/>
        <item x="871"/>
        <item x="30"/>
        <item x="499"/>
        <item x="800"/>
        <item x="1449"/>
        <item x="971"/>
        <item x="1457"/>
        <item x="955"/>
        <item x="329"/>
        <item x="1064"/>
        <item x="240"/>
        <item x="278"/>
        <item x="1478"/>
        <item x="1016"/>
        <item x="1277"/>
        <item x="56"/>
        <item x="714"/>
        <item x="291"/>
        <item x="469"/>
        <item x="598"/>
        <item x="761"/>
        <item x="22"/>
        <item x="224"/>
        <item x="769"/>
        <item x="232"/>
        <item x="617"/>
        <item x="872"/>
        <item x="1588"/>
        <item x="1739"/>
        <item x="1452"/>
        <item x="1861"/>
        <item x="1464"/>
        <item x="794"/>
        <item x="1009"/>
        <item x="237"/>
        <item x="563"/>
        <item x="1792"/>
        <item x="1549"/>
        <item x="587"/>
        <item x="256"/>
        <item x="1475"/>
        <item x="962"/>
        <item x="66"/>
        <item x="1223"/>
        <item x="830"/>
        <item x="1038"/>
        <item x="731"/>
        <item x="1709"/>
        <item x="1746"/>
        <item x="244"/>
        <item x="1749"/>
        <item x="1"/>
        <item x="362"/>
        <item x="1578"/>
        <item x="498"/>
        <item x="265"/>
        <item x="98"/>
        <item x="250"/>
        <item x="1332"/>
        <item x="1561"/>
        <item x="293"/>
        <item x="1014"/>
        <item x="1524"/>
        <item x="747"/>
        <item x="770"/>
        <item x="1247"/>
        <item x="1497"/>
        <item x="1130"/>
        <item x="77"/>
        <item x="1213"/>
        <item x="239"/>
        <item x="1090"/>
        <item x="1772"/>
        <item x="1786"/>
        <item x="1491"/>
        <item x="1500"/>
        <item x="246"/>
        <item x="1318"/>
        <item x="1269"/>
        <item x="290"/>
        <item x="298"/>
        <item x="1301"/>
        <item x="702"/>
        <item x="1509"/>
        <item x="1255"/>
        <item x="233"/>
        <item x="1721"/>
        <item x="1744"/>
        <item x="122"/>
        <item x="802"/>
        <item x="1278"/>
        <item x="310"/>
        <item x="1773"/>
        <item x="1274"/>
        <item x="464"/>
        <item x="1030"/>
        <item x="17"/>
        <item x="50"/>
        <item x="18"/>
        <item x="275"/>
        <item x="525"/>
        <item x="1181"/>
        <item x="1483"/>
        <item x="805"/>
        <item x="1227"/>
        <item x="994"/>
        <item x="1077"/>
        <item x="529"/>
        <item x="1310"/>
        <item x="1462"/>
        <item x="65"/>
        <item x="564"/>
        <item x="634"/>
        <item x="964"/>
        <item x="961"/>
        <item x="1108"/>
        <item x="1911"/>
        <item x="277"/>
        <item x="1486"/>
        <item x="41"/>
        <item x="1506"/>
        <item x="105"/>
        <item x="1013"/>
        <item x="764"/>
        <item x="255"/>
        <item x="1789"/>
        <item x="1724"/>
        <item x="270"/>
        <item x="1615"/>
        <item x="1499"/>
        <item x="1466"/>
        <item x="59"/>
        <item x="1027"/>
        <item x="1042"/>
        <item x="767"/>
        <item x="1470"/>
        <item x="974"/>
        <item x="1490"/>
        <item x="725"/>
        <item x="1208"/>
        <item x="295"/>
        <item x="750"/>
        <item x="549"/>
        <item x="1066"/>
        <item x="711"/>
        <item x="1787"/>
        <item x="1516"/>
        <item x="1015"/>
        <item x="1467"/>
        <item x="489"/>
        <item x="1019"/>
        <item x="1008"/>
        <item x="23"/>
        <item x="317"/>
        <item x="115"/>
        <item x="1501"/>
        <item x="1843"/>
        <item x="513"/>
        <item x="1630"/>
        <item x="1717"/>
        <item x="1370"/>
        <item x="839"/>
        <item x="1072"/>
        <item x="975"/>
        <item x="1018"/>
        <item x="516"/>
        <item x="1817"/>
        <item x="1025"/>
        <item x="1725"/>
        <item x="517"/>
        <item x="1239"/>
        <item x="473"/>
        <item x="396"/>
        <item x="1260"/>
        <item x="26"/>
        <item x="157"/>
        <item x="490"/>
        <item x="958"/>
        <item x="1503"/>
        <item x="976"/>
        <item x="501"/>
        <item x="1359"/>
        <item x="482"/>
        <item x="1508"/>
        <item x="1555"/>
        <item x="1757"/>
        <item x="452"/>
        <item x="781"/>
        <item x="977"/>
        <item x="1728"/>
        <item x="601"/>
        <item x="226"/>
        <item x="1750"/>
        <item x="1715"/>
        <item x="1103"/>
        <item x="1261"/>
        <item x="287"/>
        <item x="1699"/>
        <item x="717"/>
        <item x="355"/>
        <item x="1535"/>
        <item x="1585"/>
        <item x="1718"/>
        <item x="536"/>
        <item x="470"/>
        <item x="302"/>
        <item x="1737"/>
        <item x="1216"/>
        <item x="647"/>
        <item x="690"/>
        <item x="966"/>
        <item x="348"/>
        <item x="589"/>
        <item x="526"/>
        <item x="996"/>
        <item x="990"/>
        <item x="1701"/>
        <item x="1521"/>
        <item x="1726"/>
        <item x="45"/>
        <item x="982"/>
        <item x="493"/>
        <item x="294"/>
        <item x="1450"/>
        <item x="1106"/>
        <item x="911"/>
        <item x="1748"/>
        <item x="727"/>
        <item x="1634"/>
        <item x="509"/>
        <item x="652"/>
        <item x="28"/>
        <item x="366"/>
        <item x="1029"/>
        <item x="981"/>
        <item x="789"/>
        <item x="496"/>
        <item x="1207"/>
        <item x="510"/>
        <item x="484"/>
        <item x="320"/>
        <item x="308"/>
        <item x="1880"/>
        <item x="1741"/>
        <item x="1224"/>
        <item x="595"/>
        <item x="1241"/>
        <item x="316"/>
        <item x="1252"/>
        <item x="1543"/>
        <item x="566"/>
        <item x="1351"/>
        <item x="562"/>
        <item x="1559"/>
        <item x="874"/>
        <item x="745"/>
        <item x="292"/>
        <item x="1606"/>
        <item x="1455"/>
        <item x="827"/>
        <item x="953"/>
        <item x="1853"/>
        <item x="1293"/>
        <item x="234"/>
        <item x="713"/>
        <item x="1468"/>
        <item x="632"/>
        <item x="1257"/>
        <item x="1558"/>
        <item x="1226"/>
        <item x="795"/>
        <item x="300"/>
        <item x="573"/>
        <item x="505"/>
        <item x="487"/>
        <item x="1053"/>
        <item x="1548"/>
        <item x="1425"/>
        <item x="1496"/>
        <item x="491"/>
        <item x="992"/>
        <item x="758"/>
        <item x="742"/>
        <item x="118"/>
        <item x="36"/>
        <item x="825"/>
        <item x="700"/>
        <item x="1075"/>
        <item x="257"/>
        <item x="846"/>
        <item x="822"/>
        <item x="1327"/>
        <item x="38"/>
        <item x="1309"/>
        <item x="483"/>
        <item x="130"/>
        <item x="1804"/>
        <item x="1248"/>
        <item x="1258"/>
        <item x="1234"/>
        <item x="1114"/>
        <item x="838"/>
        <item x="810"/>
        <item x="1407"/>
        <item x="605"/>
        <item x="195"/>
        <item x="1913"/>
        <item x="818"/>
        <item x="387"/>
        <item x="121"/>
        <item x="1031"/>
        <item x="1060"/>
        <item x="759"/>
        <item x="883"/>
        <item x="1917"/>
        <item x="267"/>
        <item x="281"/>
        <item x="720"/>
        <item x="1097"/>
        <item x="534"/>
        <item x="249"/>
        <item x="1730"/>
        <item x="1333"/>
        <item x="1545"/>
        <item x="978"/>
        <item x="1581"/>
        <item x="1338"/>
        <item x="740"/>
        <item x="572"/>
        <item x="1515"/>
        <item x="970"/>
        <item x="1565"/>
        <item x="753"/>
        <item x="1510"/>
        <item x="997"/>
        <item x="806"/>
        <item x="590"/>
        <item x="528"/>
        <item x="1598"/>
        <item x="897"/>
        <item x="844"/>
        <item x="126"/>
        <item x="1238"/>
        <item x="1802"/>
        <item x="252"/>
        <item x="1232"/>
        <item x="87"/>
        <item x="1477"/>
        <item x="1246"/>
        <item x="1518"/>
        <item x="1785"/>
        <item x="1733"/>
        <item x="656"/>
        <item x="642"/>
        <item x="1587"/>
        <item x="259"/>
        <item x="1381"/>
        <item x="1215"/>
        <item x="1235"/>
        <item x="565"/>
        <item x="527"/>
        <item x="579"/>
        <item x="1811"/>
        <item x="1479"/>
        <item x="538"/>
        <item x="479"/>
        <item x="1003"/>
        <item x="1229"/>
        <item x="94"/>
        <item x="1074"/>
        <item x="570"/>
        <item x="138"/>
        <item x="1731"/>
        <item x="264"/>
        <item x="29"/>
        <item x="1094"/>
        <item x="1249"/>
        <item x="1068"/>
        <item x="103"/>
        <item x="1867"/>
        <item x="952"/>
        <item x="492"/>
        <item x="777"/>
        <item x="1266"/>
        <item x="72"/>
        <item x="1380"/>
        <item x="1325"/>
        <item x="1743"/>
        <item x="1552"/>
        <item x="886"/>
        <item x="1847"/>
        <item x="1259"/>
        <item x="968"/>
        <item x="460"/>
        <item x="1287"/>
        <item x="46"/>
        <item x="734"/>
        <item x="798"/>
        <item x="1487"/>
        <item x="1495"/>
        <item x="993"/>
        <item x="1243"/>
        <item x="306"/>
        <item x="1863"/>
        <item x="1841"/>
        <item x="189"/>
        <item x="813"/>
        <item x="321"/>
        <item x="1719"/>
        <item x="985"/>
        <item x="1328"/>
        <item x="569"/>
        <item x="222"/>
        <item x="779"/>
        <item x="891"/>
        <item x="260"/>
        <item x="1825"/>
        <item x="1537"/>
        <item x="1708"/>
        <item x="591"/>
        <item x="671"/>
        <item x="735"/>
        <item x="1291"/>
        <item x="1352"/>
        <item x="1368"/>
        <item x="1540"/>
        <item x="42"/>
        <item x="837"/>
        <item x="1729"/>
        <item x="1835"/>
        <item x="1702"/>
        <item x="1004"/>
        <item x="1836"/>
        <item x="1872"/>
        <item x="847"/>
        <item x="816"/>
        <item x="904"/>
        <item x="502"/>
        <item x="520"/>
        <item x="1760"/>
        <item x="1374"/>
        <item x="78"/>
        <item x="225"/>
        <item x="723"/>
        <item x="332"/>
        <item x="1754"/>
        <item x="254"/>
        <item x="243"/>
        <item x="1087"/>
        <item x="1099"/>
        <item x="319"/>
        <item x="1485"/>
        <item x="1165"/>
        <item x="385"/>
        <item x="708"/>
        <item x="1044"/>
        <item x="1296"/>
        <item x="266"/>
        <item x="552"/>
        <item x="785"/>
        <item x="1735"/>
        <item x="324"/>
        <item x="1807"/>
        <item x="1033"/>
        <item x="462"/>
        <item x="417"/>
        <item x="1032"/>
        <item x="1379"/>
        <item x="188"/>
        <item x="507"/>
        <item x="998"/>
        <item x="1414"/>
        <item x="37"/>
        <item x="6"/>
        <item x="1275"/>
        <item x="1082"/>
        <item x="340"/>
        <item x="1771"/>
        <item x="1765"/>
        <item x="1217"/>
        <item x="1637"/>
        <item x="555"/>
        <item x="1281"/>
        <item x="341"/>
        <item x="120"/>
        <item x="194"/>
        <item x="454"/>
        <item x="1288"/>
        <item x="1337"/>
        <item x="854"/>
        <item x="1405"/>
        <item x="1716"/>
        <item x="90"/>
        <item x="1092"/>
        <item x="39"/>
        <item x="284"/>
        <item x="1801"/>
        <item x="149"/>
        <item x="1221"/>
        <item x="423"/>
        <item x="450"/>
        <item x="1546"/>
        <item x="1793"/>
        <item x="276"/>
        <item x="420"/>
        <item x="1813"/>
        <item x="666"/>
        <item x="1562"/>
        <item x="1329"/>
        <item x="25"/>
        <item x="1821"/>
        <item x="801"/>
        <item x="1071"/>
        <item x="1397"/>
        <item x="75"/>
        <item x="657"/>
        <item x="338"/>
        <item x="905"/>
        <item x="865"/>
        <item x="160"/>
        <item x="183"/>
        <item x="364"/>
        <item x="1805"/>
        <item x="1000"/>
        <item x="1299"/>
        <item x="1295"/>
        <item x="582"/>
        <item x="1704"/>
        <item x="1473"/>
        <item x="729"/>
        <item x="861"/>
        <item x="842"/>
        <item x="236"/>
        <item x="64"/>
        <item x="597"/>
        <item x="557"/>
        <item x="648"/>
        <item x="1505"/>
        <item x="1445"/>
        <item x="1011"/>
        <item x="1866"/>
        <item x="305"/>
        <item x="1049"/>
        <item x="917"/>
        <item x="530"/>
        <item x="1209"/>
        <item x="132"/>
        <item x="755"/>
        <item x="1727"/>
        <item x="1629"/>
        <item x="1055"/>
        <item x="1879"/>
        <item x="1237"/>
        <item x="613"/>
        <item x="607"/>
        <item x="577"/>
        <item x="732"/>
        <item x="1876"/>
        <item x="408"/>
        <item x="1272"/>
        <item x="1474"/>
        <item x="1088"/>
        <item x="1195"/>
        <item x="61"/>
        <item x="1290"/>
        <item x="804"/>
        <item x="1240"/>
        <item x="97"/>
        <item x="815"/>
        <item x="919"/>
        <item x="123"/>
        <item x="571"/>
        <item x="1304"/>
        <item x="1745"/>
        <item x="1303"/>
        <item x="523"/>
        <item x="358"/>
        <item x="1590"/>
        <item x="360"/>
        <item x="1572"/>
        <item x="1599"/>
        <item x="1602"/>
        <item x="345"/>
        <item x="1770"/>
        <item x="586"/>
        <item x="1523"/>
        <item x="2"/>
        <item x="49"/>
        <item x="1050"/>
        <item x="1653"/>
        <item x="1677"/>
        <item x="1665"/>
        <item x="1377"/>
        <item x="616"/>
        <item x="1538"/>
        <item x="1413"/>
        <item x="477"/>
        <item x="722"/>
        <item x="1110"/>
        <item x="1895"/>
        <item x="374"/>
        <item x="1080"/>
        <item x="263"/>
        <item x="775"/>
        <item x="1349"/>
        <item x="673"/>
        <item x="1844"/>
        <item x="1642"/>
        <item x="849"/>
        <item x="323"/>
        <item x="1611"/>
        <item x="1576"/>
        <item x="1722"/>
        <item x="1840"/>
        <item x="271"/>
        <item x="957"/>
        <item x="1833"/>
        <item x="1465"/>
        <item x="365"/>
        <item x="596"/>
        <item x="639"/>
        <item x="1608"/>
        <item x="1831"/>
        <item x="196"/>
        <item x="248"/>
        <item x="1532"/>
        <item x="1409"/>
        <item x="330"/>
        <item x="410"/>
        <item x="1372"/>
        <item x="1663"/>
        <item x="20"/>
        <item x="414"/>
        <item x="314"/>
        <item x="1163"/>
        <item x="1573"/>
        <item x="1188"/>
        <item x="950"/>
        <item x="1043"/>
        <item x="1542"/>
        <item x="472"/>
        <item x="1214"/>
        <item x="1755"/>
        <item x="119"/>
        <item x="1809"/>
        <item x="192"/>
        <item x="1839"/>
        <item x="1732"/>
        <item x="896"/>
        <item x="1859"/>
        <item x="808"/>
        <item x="756"/>
        <item x="1678"/>
        <item x="1519"/>
        <item x="193"/>
        <item x="1864"/>
        <item x="1658"/>
        <item x="1539"/>
        <item x="245"/>
        <item x="503"/>
        <item x="1522"/>
        <item x="1798"/>
        <item x="608"/>
        <item x="363"/>
        <item x="774"/>
        <item x="979"/>
        <item x="84"/>
        <item x="125"/>
        <item x="198"/>
        <item x="1373"/>
        <item x="322"/>
        <item x="703"/>
        <item x="137"/>
        <item x="1125"/>
        <item x="1567"/>
        <item x="1002"/>
        <item x="166"/>
        <item x="1211"/>
        <item x="1136"/>
        <item x="819"/>
        <item x="1045"/>
        <item x="1672"/>
        <item x="1898"/>
        <item x="1734"/>
        <item x="1586"/>
        <item x="101"/>
        <item x="1856"/>
        <item x="624"/>
        <item x="335"/>
        <item x="1219"/>
        <item x="456"/>
        <item x="1799"/>
        <item x="1264"/>
        <item x="331"/>
        <item x="431"/>
        <item x="1648"/>
        <item x="1779"/>
        <item x="1197"/>
        <item x="1816"/>
        <item x="1298"/>
        <item x="1007"/>
        <item x="730"/>
        <item x="682"/>
        <item x="1795"/>
        <item x="134"/>
        <item x="384"/>
        <item x="1517"/>
        <item x="558"/>
        <item x="667"/>
        <item x="541"/>
        <item x="1294"/>
        <item x="1582"/>
        <item x="803"/>
        <item x="1868"/>
        <item x="1085"/>
        <item x="289"/>
        <item x="1536"/>
        <item x="929"/>
        <item x="1412"/>
        <item x="242"/>
        <item x="150"/>
        <item x="1527"/>
        <item x="89"/>
        <item x="776"/>
        <item x="743"/>
        <item x="1886"/>
        <item x="1666"/>
        <item x="1273"/>
        <item x="1908"/>
        <item x="986"/>
        <item x="757"/>
        <item x="145"/>
        <item x="1271"/>
        <item x="1022"/>
        <item x="1918"/>
        <item x="268"/>
        <item x="1553"/>
        <item x="641"/>
        <item x="908"/>
        <item x="1116"/>
        <item x="359"/>
        <item x="658"/>
        <item x="151"/>
        <item x="297"/>
        <item x="1654"/>
        <item x="162"/>
        <item x="346"/>
        <item x="1024"/>
        <item x="1684"/>
        <item x="799"/>
        <item x="1187"/>
        <item x="116"/>
        <item x="651"/>
        <item x="547"/>
        <item x="1874"/>
        <item x="578"/>
        <item x="279"/>
        <item x="1324"/>
        <item x="748"/>
        <item x="1191"/>
        <item x="600"/>
        <item x="1607"/>
        <item x="841"/>
        <item x="1822"/>
        <item x="778"/>
        <item x="1131"/>
        <item x="858"/>
        <item x="1664"/>
        <item x="282"/>
        <item x="1006"/>
        <item x="129"/>
        <item x="1101"/>
        <item x="659"/>
        <item x="814"/>
        <item x="52"/>
        <item x="1206"/>
        <item x="1780"/>
        <item x="80"/>
        <item x="1618"/>
        <item x="826"/>
        <item x="1408"/>
        <item x="1233"/>
        <item x="1436"/>
        <item x="1361"/>
        <item x="303"/>
        <item x="654"/>
        <item x="1067"/>
        <item x="663"/>
        <item x="272"/>
        <item x="1152"/>
        <item x="154"/>
        <item x="311"/>
        <item x="1525"/>
        <item x="336"/>
        <item x="383"/>
        <item x="584"/>
        <item x="313"/>
        <item x="156"/>
        <item x="184"/>
        <item x="1556"/>
        <item x="1596"/>
        <item x="524"/>
        <item x="67"/>
        <item x="1915"/>
        <item x="1286"/>
        <item x="386"/>
        <item x="178"/>
        <item x="928"/>
        <item x="623"/>
        <item x="1353"/>
        <item x="1424"/>
        <item x="437"/>
        <item x="823"/>
        <item x="869"/>
        <item x="1584"/>
        <item x="481"/>
        <item x="1326"/>
        <item x="1251"/>
        <item x="168"/>
        <item x="1887"/>
        <item x="307"/>
        <item x="1778"/>
        <item x="1364"/>
        <item x="216"/>
        <item x="1854"/>
        <item x="1023"/>
        <item x="14"/>
        <item x="956"/>
        <item x="1070"/>
        <item x="1651"/>
        <item x="706"/>
        <item x="1458"/>
        <item x="921"/>
        <item x="719"/>
        <item x="1520"/>
        <item x="554"/>
        <item x="855"/>
        <item x="1245"/>
        <item x="1814"/>
        <item x="1456"/>
        <item x="1797"/>
        <item x="575"/>
        <item x="100"/>
        <item x="1914"/>
        <item x="1428"/>
        <item x="357"/>
        <item x="1350"/>
        <item x="718"/>
        <item x="1904"/>
        <item x="1285"/>
        <item x="1855"/>
        <item x="792"/>
        <item x="1498"/>
        <item x="333"/>
        <item x="1061"/>
        <item x="1828"/>
        <item x="1065"/>
        <item x="1315"/>
        <item x="1775"/>
        <item x="1320"/>
        <item x="1186"/>
        <item x="1098"/>
        <item x="1300"/>
        <item x="421"/>
        <item x="1600"/>
        <item x="1747"/>
        <item x="370"/>
        <item x="1153"/>
        <item x="879"/>
        <item x="796"/>
        <item x="1126"/>
        <item x="1357"/>
        <item x="1423"/>
        <item x="1877"/>
        <item x="1317"/>
        <item x="1661"/>
        <item x="1633"/>
        <item x="399"/>
        <item x="1595"/>
        <item x="726"/>
        <item x="1901"/>
        <item x="915"/>
        <item x="433"/>
        <item x="1454"/>
        <item x="1331"/>
        <item x="1250"/>
        <item x="784"/>
        <item x="749"/>
        <item x="1693"/>
        <item x="895"/>
        <item x="1481"/>
        <item x="406"/>
        <item x="171"/>
        <item x="1336"/>
        <item x="1646"/>
        <item x="113"/>
        <item x="177"/>
        <item x="860"/>
        <item x="1383"/>
        <item x="1276"/>
        <item x="288"/>
        <item x="159"/>
        <item x="1668"/>
        <item x="461"/>
        <item x="381"/>
        <item x="902"/>
        <item x="1907"/>
        <item x="1838"/>
        <item x="273"/>
        <item x="772"/>
        <item x="1386"/>
        <item x="912"/>
        <item x="1358"/>
        <item x="684"/>
        <item x="367"/>
        <item x="327"/>
        <item x="812"/>
        <item x="1375"/>
        <item x="1826"/>
        <item x="229"/>
        <item x="180"/>
        <item x="907"/>
        <item x="973"/>
        <item x="1052"/>
        <item x="1416"/>
        <item x="535"/>
        <item x="705"/>
        <item x="1171"/>
        <item x="1707"/>
        <item x="1105"/>
        <item x="1156"/>
        <item x="913"/>
        <item x="1921"/>
        <item x="1283"/>
        <item x="1806"/>
        <item x="900"/>
        <item x="1593"/>
        <item x="924"/>
        <item x="8"/>
        <item x="1899"/>
        <item x="1418"/>
        <item x="1896"/>
        <item x="1810"/>
        <item x="1736"/>
        <item x="253"/>
        <item x="347"/>
        <item x="1640"/>
        <item x="146"/>
        <item x="1461"/>
        <item x="1554"/>
        <item x="1330"/>
        <item x="866"/>
        <item x="223"/>
        <item x="1657"/>
        <item x="1419"/>
        <item x="206"/>
        <item x="1297"/>
        <item x="1547"/>
        <item x="1012"/>
        <item x="875"/>
        <item x="401"/>
        <item x="1564"/>
        <item x="1177"/>
        <item x="1343"/>
        <item x="1356"/>
        <item x="831"/>
        <item x="391"/>
        <item x="1279"/>
        <item x="959"/>
        <item x="1242"/>
        <item x="618"/>
        <item x="419"/>
        <item x="197"/>
        <item x="1323"/>
        <item x="1111"/>
        <item x="1903"/>
        <item x="1845"/>
        <item x="1034"/>
        <item x="1529"/>
        <item x="1791"/>
        <item x="1713"/>
        <item x="202"/>
        <item x="1783"/>
        <item x="1143"/>
        <item x="945"/>
        <item x="318"/>
        <item x="1502"/>
        <item x="1341"/>
        <item x="1083"/>
        <item x="620"/>
        <item x="628"/>
        <item x="1873"/>
        <item x="1589"/>
        <item x="556"/>
        <item x="941"/>
        <item x="31"/>
        <item x="1929"/>
        <item x="576"/>
        <item x="1580"/>
        <item x="428"/>
        <item x="638"/>
        <item x="1605"/>
        <item x="1603"/>
        <item x="676"/>
        <item x="1794"/>
        <item x="369"/>
        <item x="1220"/>
        <item x="1819"/>
        <item x="588"/>
        <item x="1282"/>
        <item x="1504"/>
        <item x="33"/>
        <item x="1767"/>
        <item x="834"/>
        <item x="969"/>
        <item x="88"/>
        <item x="754"/>
        <item x="1857"/>
        <item x="334"/>
        <item x="1850"/>
        <item x="432"/>
        <item x="983"/>
        <item x="521"/>
        <item x="1312"/>
        <item x="1168"/>
        <item x="1614"/>
        <item x="1784"/>
        <item x="1645"/>
        <item x="828"/>
        <item x="1905"/>
        <item x="1415"/>
        <item x="1753"/>
        <item x="1925"/>
        <item x="592"/>
        <item x="1109"/>
        <item x="312"/>
        <item x="475"/>
        <item x="1160"/>
        <item x="62"/>
        <item x="553"/>
        <item x="674"/>
        <item x="1162"/>
        <item x="568"/>
        <item x="1768"/>
        <item x="1081"/>
        <item x="1675"/>
        <item x="1469"/>
        <item x="760"/>
        <item x="1723"/>
        <item x="1089"/>
        <item x="1122"/>
        <item x="9"/>
        <item x="93"/>
        <item x="1574"/>
        <item x="1253"/>
        <item x="1056"/>
        <item x="1681"/>
        <item x="1560"/>
        <item x="864"/>
        <item x="972"/>
        <item x="1107"/>
        <item x="1812"/>
        <item x="10"/>
        <item x="1788"/>
        <item x="343"/>
        <item x="79"/>
        <item x="377"/>
        <item x="1441"/>
        <item x="876"/>
        <item x="1175"/>
        <item x="1885"/>
        <item x="376"/>
        <item x="1384"/>
        <item x="402"/>
        <item x="707"/>
        <item x="1403"/>
        <item x="1174"/>
        <item x="593"/>
        <item x="190"/>
        <item x="910"/>
        <item x="1440"/>
        <item x="1178"/>
        <item x="1411"/>
        <item x="1758"/>
        <item x="965"/>
        <item x="545"/>
        <item x="630"/>
        <item x="1622"/>
        <item x="1095"/>
        <item x="786"/>
        <item x="476"/>
        <item x="262"/>
        <item x="1492"/>
        <item x="1883"/>
        <item x="1656"/>
        <item x="678"/>
        <item x="848"/>
        <item x="91"/>
        <item x="1628"/>
        <item x="471"/>
        <item x="1571"/>
        <item x="1431"/>
        <item x="1348"/>
        <item x="862"/>
        <item x="1147"/>
        <item x="1803"/>
        <item x="1575"/>
        <item x="599"/>
        <item x="368"/>
        <item x="71"/>
        <item x="112"/>
        <item x="1818"/>
        <item x="393"/>
        <item x="1679"/>
        <item x="925"/>
        <item x="537"/>
        <item x="672"/>
        <item x="1121"/>
        <item x="1752"/>
        <item x="269"/>
        <item x="1308"/>
        <item x="1852"/>
        <item x="604"/>
        <item x="468"/>
        <item x="594"/>
        <item x="43"/>
        <item x="687"/>
        <item x="926"/>
        <item x="709"/>
        <item x="807"/>
        <item x="1617"/>
        <item x="1579"/>
        <item x="1882"/>
        <item x="892"/>
        <item x="660"/>
        <item x="612"/>
        <item x="13"/>
        <item x="737"/>
        <item x="1054"/>
        <item x="111"/>
        <item x="824"/>
        <item x="1124"/>
        <item x="1189"/>
        <item x="728"/>
        <item x="1604"/>
        <item x="1881"/>
        <item x="1862"/>
        <item x="1334"/>
        <item x="1104"/>
        <item x="655"/>
        <item x="1198"/>
        <item x="539"/>
        <item x="546"/>
        <item x="1145"/>
        <item x="1347"/>
        <item x="701"/>
        <item x="167"/>
        <item x="1365"/>
        <item x="1451"/>
        <item x="1641"/>
        <item x="1037"/>
        <item x="987"/>
        <item x="680"/>
        <item x="514"/>
        <item x="394"/>
        <item x="1289"/>
        <item x="797"/>
        <item x="1676"/>
        <item x="1609"/>
        <item x="995"/>
        <item x="1244"/>
        <item x="1894"/>
        <item x="48"/>
        <item x="1202"/>
        <item x="99"/>
        <item x="821"/>
        <item x="247"/>
        <item x="543"/>
        <item x="1135"/>
        <item x="1149"/>
        <item x="1541"/>
        <item x="1888"/>
        <item x="704"/>
        <item x="40"/>
        <item x="1047"/>
        <item x="636"/>
        <item x="500"/>
        <item x="1084"/>
        <item x="95"/>
        <item x="60"/>
        <item x="1340"/>
        <item x="880"/>
        <item x="1154"/>
        <item x="1069"/>
        <item x="859"/>
        <item x="899"/>
        <item x="811"/>
        <item x="104"/>
        <item x="407"/>
        <item x="1382"/>
        <item x="762"/>
        <item x="1514"/>
        <item x="1858"/>
        <item x="434"/>
        <item x="793"/>
        <item x="1623"/>
        <item x="1406"/>
        <item x="790"/>
        <item x="74"/>
        <item x="1912"/>
        <item x="1781"/>
        <item x="92"/>
        <item x="201"/>
        <item x="1039"/>
        <item x="1776"/>
        <item x="1117"/>
        <item x="1531"/>
        <item x="148"/>
        <item x="1057"/>
        <item x="1376"/>
        <item x="356"/>
        <item x="791"/>
        <item x="1170"/>
        <item x="1625"/>
        <item x="946"/>
        <item x="1212"/>
        <item x="1319"/>
        <item x="1766"/>
        <item x="851"/>
        <item x="155"/>
        <item x="352"/>
        <item x="559"/>
        <item x="1476"/>
        <item x="932"/>
        <item x="1091"/>
        <item x="1369"/>
        <item x="1335"/>
        <item x="210"/>
        <item x="448"/>
        <item x="845"/>
        <item x="1782"/>
        <item x="1577"/>
        <item x="1176"/>
        <item x="889"/>
        <item x="1021"/>
        <item x="1263"/>
        <item x="1268"/>
        <item x="1869"/>
        <item x="1865"/>
        <item x="619"/>
        <item x="1316"/>
        <item x="1655"/>
        <item x="1134"/>
        <item x="405"/>
        <item x="413"/>
        <item x="868"/>
        <item x="1362"/>
        <item x="301"/>
        <item x="1076"/>
        <item x="1683"/>
        <item x="664"/>
        <item x="1113"/>
        <item x="1649"/>
        <item x="882"/>
        <item x="1158"/>
        <item x="1046"/>
        <item x="1118"/>
        <item x="906"/>
        <item x="1777"/>
        <item x="1146"/>
        <item x="1155"/>
        <item x="108"/>
        <item x="1815"/>
        <item x="835"/>
        <item x="1889"/>
        <item x="1430"/>
        <item x="351"/>
        <item x="922"/>
        <item x="1265"/>
        <item x="169"/>
        <item x="382"/>
        <item x="1142"/>
        <item x="884"/>
        <item x="836"/>
        <item x="1302"/>
        <item x="739"/>
        <item x="901"/>
        <item x="544"/>
        <item x="81"/>
        <item x="1624"/>
        <item x="645"/>
        <item x="1890"/>
        <item x="1402"/>
        <item x="203"/>
        <item x="1830"/>
        <item x="1417"/>
        <item x="1051"/>
        <item x="1284"/>
        <item x="1568"/>
        <item x="1871"/>
        <item x="668"/>
        <item x="679"/>
        <item x="429"/>
        <item x="430"/>
        <item x="86"/>
        <item x="766"/>
        <item x="637"/>
        <item x="832"/>
        <item x="415"/>
        <item x="989"/>
        <item x="446"/>
        <item x="1100"/>
        <item x="1133"/>
        <item x="1769"/>
        <item x="1891"/>
        <item x="274"/>
        <item x="606"/>
        <item x="1395"/>
        <item x="1667"/>
        <item x="1148"/>
        <item x="1079"/>
        <item x="710"/>
        <item x="1591"/>
        <item x="1026"/>
        <item x="1180"/>
        <item x="1115"/>
        <item x="3"/>
        <item x="622"/>
        <item x="890"/>
        <item x="1394"/>
        <item x="1670"/>
        <item x="773"/>
        <item x="1367"/>
        <item x="34"/>
        <item x="614"/>
        <item x="1528"/>
        <item x="1342"/>
        <item x="1123"/>
        <item x="918"/>
        <item x="1132"/>
        <item x="611"/>
        <item x="441"/>
        <item x="1141"/>
        <item x="1621"/>
        <item x="390"/>
        <item x="55"/>
        <item x="937"/>
        <item x="1592"/>
        <item x="1526"/>
        <item x="1346"/>
        <item x="583"/>
        <item x="1429"/>
        <item x="76"/>
        <item x="1557"/>
        <item x="68"/>
        <item x="1093"/>
        <item x="1086"/>
        <item x="1790"/>
        <item x="1697"/>
        <item x="373"/>
        <item x="380"/>
        <item x="69"/>
        <item x="829"/>
        <item x="418"/>
        <item x="170"/>
        <item x="1059"/>
        <item x="1472"/>
        <item x="1129"/>
        <item x="670"/>
        <item x="695"/>
        <item x="1150"/>
        <item x="644"/>
        <item x="1427"/>
        <item x="5"/>
        <item x="1834"/>
        <item x="227"/>
        <item x="485"/>
        <item x="733"/>
        <item x="980"/>
        <item x="1550"/>
        <item x="1169"/>
        <item x="426"/>
        <item x="153"/>
        <item x="436"/>
        <item x="24"/>
        <item x="350"/>
        <item x="1453"/>
        <item x="1823"/>
        <item x="1192"/>
        <item x="1144"/>
        <item x="53"/>
        <item x="152"/>
        <item x="379"/>
        <item x="1204"/>
        <item x="1442"/>
        <item x="286"/>
        <item x="1612"/>
        <item x="1400"/>
        <item x="427"/>
        <item x="208"/>
        <item x="751"/>
        <item x="610"/>
        <item x="458"/>
        <item x="1636"/>
        <item x="1127"/>
        <item x="1167"/>
        <item x="1305"/>
        <item x="179"/>
        <item x="1420"/>
        <item x="878"/>
        <item x="898"/>
        <item x="1388"/>
        <item x="643"/>
        <item x="627"/>
        <item x="940"/>
        <item x="893"/>
        <item x="916"/>
        <item x="1063"/>
        <item x="1443"/>
        <item x="863"/>
        <item x="1644"/>
        <item x="1632"/>
        <item x="1137"/>
        <item x="931"/>
        <item x="935"/>
        <item x="683"/>
        <item x="1551"/>
        <item x="58"/>
        <item x="1387"/>
        <item x="1307"/>
        <item x="1410"/>
        <item x="689"/>
        <item x="1530"/>
        <item x="1613"/>
        <item x="388"/>
        <item x="1422"/>
        <item x="1225"/>
        <item x="1926"/>
        <item x="699"/>
        <item x="57"/>
        <item x="207"/>
        <item x="141"/>
        <item x="885"/>
        <item x="438"/>
        <item x="1597"/>
        <item x="909"/>
        <item x="1878"/>
        <item x="1354"/>
        <item x="820"/>
        <item x="158"/>
        <item x="1448"/>
        <item x="1139"/>
        <item x="1680"/>
        <item x="649"/>
        <item x="1173"/>
        <item x="375"/>
        <item x="1829"/>
        <item x="1616"/>
        <item x="1166"/>
        <item x="693"/>
        <item x="1689"/>
        <item x="688"/>
        <item x="325"/>
        <item x="218"/>
        <item x="403"/>
        <item x="176"/>
        <item x="1036"/>
        <item x="109"/>
        <item x="444"/>
        <item x="1393"/>
        <item x="1438"/>
        <item x="185"/>
        <item x="411"/>
        <item x="412"/>
        <item x="1660"/>
        <item x="1659"/>
        <item x="1058"/>
        <item x="930"/>
        <item x="425"/>
        <item x="1480"/>
        <item x="696"/>
        <item x="522"/>
        <item x="877"/>
        <item x="1205"/>
        <item x="881"/>
        <item x="304"/>
        <item x="646"/>
        <item x="1313"/>
        <item x="144"/>
        <item x="1200"/>
        <item x="1073"/>
        <item x="1686"/>
        <item x="1366"/>
        <item x="1433"/>
        <item x="1631"/>
        <item x="1849"/>
        <item x="1194"/>
        <item x="1390"/>
        <item x="1647"/>
        <item x="175"/>
        <item x="1435"/>
        <item x="923"/>
        <item x="140"/>
        <item x="1190"/>
        <item x="1652"/>
        <item x="963"/>
        <item x="853"/>
        <item x="1601"/>
        <item x="852"/>
        <item x="1392"/>
        <item x="1842"/>
        <item x="948"/>
        <item x="1040"/>
        <item x="1421"/>
        <item x="214"/>
        <item x="1482"/>
        <item x="677"/>
        <item x="1157"/>
        <item x="1161"/>
        <item x="400"/>
        <item x="903"/>
        <item x="1909"/>
        <item x="1669"/>
        <item x="927"/>
        <item x="181"/>
        <item x="1619"/>
        <item x="551"/>
        <item x="1897"/>
        <item x="1360"/>
        <item x="172"/>
        <item x="135"/>
        <item x="609"/>
        <item x="933"/>
        <item x="867"/>
        <item x="675"/>
        <item x="1610"/>
        <item x="629"/>
        <item x="4"/>
        <item x="870"/>
        <item x="887"/>
        <item x="445"/>
        <item x="967"/>
        <item x="389"/>
        <item x="947"/>
        <item x="142"/>
        <item x="856"/>
        <item x="1920"/>
        <item x="1355"/>
        <item x="1696"/>
        <item x="1846"/>
        <item x="1694"/>
        <item x="251"/>
        <item x="200"/>
        <item x="1389"/>
        <item x="954"/>
        <item x="1151"/>
        <item x="1385"/>
        <item x="1927"/>
        <item x="182"/>
        <item x="1112"/>
        <item x="440"/>
        <item x="1396"/>
        <item x="96"/>
        <item x="1199"/>
        <item x="422"/>
        <item x="1138"/>
        <item x="1928"/>
        <item x="698"/>
        <item x="1447"/>
        <item x="894"/>
        <item x="1870"/>
        <item x="621"/>
        <item x="1183"/>
        <item x="1643"/>
        <item x="164"/>
        <item x="1626"/>
        <item x="173"/>
        <item x="131"/>
        <item x="1119"/>
        <item x="35"/>
        <item x="685"/>
        <item x="681"/>
        <item x="1434"/>
        <item x="1893"/>
        <item x="943"/>
        <item x="787"/>
        <item x="938"/>
        <item x="1687"/>
        <item x="1837"/>
        <item x="936"/>
        <item x="1761"/>
        <item x="1164"/>
        <item x="1650"/>
        <item x="692"/>
        <item x="1902"/>
        <item x="1437"/>
        <item x="1875"/>
        <item x="1203"/>
        <item x="1820"/>
        <item x="12"/>
        <item x="653"/>
        <item x="1459"/>
        <item x="914"/>
        <item x="694"/>
        <item x="1120"/>
        <item x="442"/>
        <item x="633"/>
        <item x="212"/>
        <item x="939"/>
        <item x="1638"/>
        <item x="1892"/>
        <item x="1860"/>
        <item x="1673"/>
        <item x="465"/>
        <item x="1201"/>
        <item x="771"/>
        <item x="1923"/>
        <item x="449"/>
        <item x="697"/>
        <item x="1692"/>
        <item x="840"/>
        <item x="1391"/>
        <item x="1720"/>
        <item x="143"/>
        <item x="988"/>
        <item x="1401"/>
        <item x="1196"/>
        <item x="21"/>
        <item x="788"/>
        <item x="1691"/>
        <item x="1620"/>
        <item x="944"/>
        <item x="238"/>
        <item x="635"/>
        <item x="1662"/>
        <item x="378"/>
        <item x="511"/>
        <item x="1028"/>
        <item x="1900"/>
        <item x="888"/>
        <item x="1919"/>
        <item x="991"/>
        <item x="1344"/>
        <item x="1159"/>
        <item x="1140"/>
        <item x="724"/>
        <item x="1292"/>
        <item x="1179"/>
        <item x="228"/>
        <item x="1444"/>
        <item x="873"/>
        <item x="117"/>
        <item x="1262"/>
        <item x="1439"/>
        <item x="372"/>
        <item x="1569"/>
        <item x="615"/>
        <item x="447"/>
        <item x="217"/>
        <item x="669"/>
        <item x="416"/>
        <item x="1363"/>
        <item x="174"/>
        <item x="1910"/>
        <item x="515"/>
        <item x="409"/>
        <item x="1583"/>
        <item x="951"/>
        <item x="209"/>
        <item x="404"/>
        <item x="843"/>
        <item x="1906"/>
        <item x="1763"/>
        <item x="1463"/>
        <item x="44"/>
        <item x="1426"/>
        <item x="211"/>
        <item x="16"/>
        <item x="395"/>
        <item x="1378"/>
        <item x="1128"/>
        <item x="949"/>
        <item x="661"/>
        <item x="1635"/>
        <item x="124"/>
        <item x="920"/>
        <item x="371"/>
        <item x="51"/>
        <item x="435"/>
        <item x="686"/>
        <item x="199"/>
        <item x="1193"/>
        <item x="691"/>
        <item x="219"/>
        <item x="136"/>
        <item x="165"/>
        <item x="1446"/>
        <item x="934"/>
        <item x="1916"/>
        <item x="1182"/>
        <item x="1690"/>
        <item x="147"/>
        <item x="439"/>
        <item x="540"/>
        <item x="1432"/>
        <item x="205"/>
        <item x="204"/>
        <item x="1674"/>
        <item x="1671"/>
        <item x="213"/>
        <item x="942"/>
        <item x="398"/>
        <item x="1172"/>
        <item x="765"/>
        <item x="1685"/>
        <item x="215"/>
        <item x="1345"/>
        <item x="7"/>
        <item x="133"/>
        <item x="1740"/>
        <item x="285"/>
        <item x="220"/>
        <item x="1184"/>
        <item x="70"/>
        <item x="191"/>
        <item x="280"/>
        <item x="1512"/>
        <item x="1832"/>
        <item x="128"/>
        <item x="85"/>
        <item x="344"/>
        <item x="1254"/>
        <item x="139"/>
        <item x="850"/>
        <item x="741"/>
        <item x="221"/>
        <item x="83"/>
        <item x="1695"/>
        <item x="187"/>
        <item x="1017"/>
        <item x="1404"/>
        <item x="1688"/>
        <item x="488"/>
        <item x="984"/>
        <item x="1230"/>
        <item x="163"/>
        <item x="186"/>
        <item x="54"/>
        <item t="default"/>
      </items>
    </pivotField>
    <pivotField dataField="1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a de Valor Liquidado" fld="4" baseField="0" baseItem="0"/>
  </dataFields>
  <formats count="2">
    <format dxfId="2">
      <pivotArea outline="0" collapsedLevelsAreSubtotals="1" fieldPosition="0"/>
    </format>
    <format dxfId="3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28E3F-72E5-437F-A344-7230D9599884}" name="Tabela dinâmica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14:B43" firstHeaderRow="1" firstDataRow="1" firstDataCol="1"/>
  <pivotFields count="8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29">
        <item x="24"/>
        <item x="15"/>
        <item x="9"/>
        <item x="12"/>
        <item x="20"/>
        <item x="1"/>
        <item x="2"/>
        <item x="13"/>
        <item x="10"/>
        <item x="7"/>
        <item x="22"/>
        <item x="0"/>
        <item x="21"/>
        <item x="14"/>
        <item x="19"/>
        <item x="17"/>
        <item x="25"/>
        <item x="23"/>
        <item x="3"/>
        <item x="5"/>
        <item x="8"/>
        <item x="16"/>
        <item x="6"/>
        <item x="18"/>
        <item x="4"/>
        <item x="26"/>
        <item x="27"/>
        <item x="11"/>
        <item t="default"/>
      </items>
    </pivotField>
    <pivotField showAll="0"/>
    <pivotField showAll="0">
      <items count="1931">
        <item x="1399"/>
        <item x="603"/>
        <item x="1627"/>
        <item x="1306"/>
        <item x="809"/>
        <item x="640"/>
        <item x="283"/>
        <item x="326"/>
        <item x="1924"/>
        <item x="1185"/>
        <item x="1594"/>
        <item x="662"/>
        <item x="392"/>
        <item x="443"/>
        <item x="1682"/>
        <item x="512"/>
        <item x="361"/>
        <item x="782"/>
        <item x="1922"/>
        <item x="581"/>
        <item x="1712"/>
        <item x="533"/>
        <item x="1764"/>
        <item x="542"/>
        <item x="1824"/>
        <item x="625"/>
        <item x="650"/>
        <item x="455"/>
        <item x="506"/>
        <item x="585"/>
        <item x="1774"/>
        <item x="1371"/>
        <item x="817"/>
        <item x="631"/>
        <item x="230"/>
        <item x="258"/>
        <item x="494"/>
        <item x="665"/>
        <item x="349"/>
        <item x="1507"/>
        <item x="561"/>
        <item x="626"/>
        <item x="602"/>
        <item x="451"/>
        <item x="480"/>
        <item x="580"/>
        <item x="1010"/>
        <item x="486"/>
        <item x="548"/>
        <item x="550"/>
        <item x="1267"/>
        <item x="459"/>
        <item x="1759"/>
        <item x="231"/>
        <item x="1322"/>
        <item x="1222"/>
        <item x="1808"/>
        <item x="1563"/>
        <item x="1218"/>
        <item x="712"/>
        <item x="1460"/>
        <item x="342"/>
        <item x="560"/>
        <item x="508"/>
        <item x="353"/>
        <item x="1493"/>
        <item x="519"/>
        <item x="574"/>
        <item x="1848"/>
        <item x="457"/>
        <item x="424"/>
        <item x="1488"/>
        <item x="1398"/>
        <item x="495"/>
        <item x="463"/>
        <item x="1884"/>
        <item x="763"/>
        <item x="567"/>
        <item x="504"/>
        <item x="1710"/>
        <item x="1534"/>
        <item x="1570"/>
        <item x="1851"/>
        <item x="1005"/>
        <item x="1706"/>
        <item x="337"/>
        <item x="1827"/>
        <item x="1533"/>
        <item x="721"/>
        <item x="1639"/>
        <item x="1001"/>
        <item x="1511"/>
        <item x="1321"/>
        <item x="1800"/>
        <item x="1484"/>
        <item x="1102"/>
        <item x="1078"/>
        <item x="397"/>
        <item x="235"/>
        <item x="1698"/>
        <item x="716"/>
        <item x="1270"/>
        <item x="315"/>
        <item x="780"/>
        <item x="1020"/>
        <item x="1489"/>
        <item x="1566"/>
        <item x="736"/>
        <item x="857"/>
        <item x="752"/>
        <item x="833"/>
        <item x="1228"/>
        <item x="241"/>
        <item x="1035"/>
        <item x="1041"/>
        <item x="715"/>
        <item x="1494"/>
        <item x="0"/>
        <item x="1513"/>
        <item x="1756"/>
        <item x="47"/>
        <item x="309"/>
        <item x="497"/>
        <item x="532"/>
        <item x="466"/>
        <item x="296"/>
        <item x="960"/>
        <item x="531"/>
        <item x="744"/>
        <item x="1738"/>
        <item x="1062"/>
        <item x="478"/>
        <item x="299"/>
        <item x="738"/>
        <item x="1096"/>
        <item x="1236"/>
        <item x="1544"/>
        <item x="1796"/>
        <item x="1711"/>
        <item x="453"/>
        <item x="11"/>
        <item x="1210"/>
        <item x="102"/>
        <item x="63"/>
        <item x="27"/>
        <item x="1705"/>
        <item x="32"/>
        <item x="1048"/>
        <item x="328"/>
        <item x="354"/>
        <item x="106"/>
        <item x="1339"/>
        <item x="518"/>
        <item x="1751"/>
        <item x="110"/>
        <item x="1311"/>
        <item x="15"/>
        <item x="467"/>
        <item x="82"/>
        <item x="1762"/>
        <item x="1231"/>
        <item x="1471"/>
        <item x="746"/>
        <item x="1280"/>
        <item x="114"/>
        <item x="768"/>
        <item x="783"/>
        <item x="1314"/>
        <item x="999"/>
        <item x="127"/>
        <item x="19"/>
        <item x="339"/>
        <item x="1256"/>
        <item x="1742"/>
        <item x="73"/>
        <item x="261"/>
        <item x="161"/>
        <item x="474"/>
        <item x="1703"/>
        <item x="1714"/>
        <item x="1700"/>
        <item x="107"/>
        <item x="871"/>
        <item x="30"/>
        <item x="499"/>
        <item x="800"/>
        <item x="1449"/>
        <item x="971"/>
        <item x="1457"/>
        <item x="955"/>
        <item x="329"/>
        <item x="1064"/>
        <item x="240"/>
        <item x="278"/>
        <item x="1478"/>
        <item x="1016"/>
        <item x="1277"/>
        <item x="56"/>
        <item x="714"/>
        <item x="291"/>
        <item x="469"/>
        <item x="598"/>
        <item x="761"/>
        <item x="22"/>
        <item x="224"/>
        <item x="769"/>
        <item x="232"/>
        <item x="617"/>
        <item x="872"/>
        <item x="1588"/>
        <item x="1739"/>
        <item x="1452"/>
        <item x="1861"/>
        <item x="1464"/>
        <item x="794"/>
        <item x="1009"/>
        <item x="237"/>
        <item x="563"/>
        <item x="1792"/>
        <item x="1549"/>
        <item x="587"/>
        <item x="256"/>
        <item x="1475"/>
        <item x="962"/>
        <item x="66"/>
        <item x="1223"/>
        <item x="830"/>
        <item x="1038"/>
        <item x="731"/>
        <item x="1709"/>
        <item x="1746"/>
        <item x="244"/>
        <item x="1749"/>
        <item x="1"/>
        <item x="362"/>
        <item x="1578"/>
        <item x="498"/>
        <item x="265"/>
        <item x="98"/>
        <item x="250"/>
        <item x="1332"/>
        <item x="1561"/>
        <item x="293"/>
        <item x="1014"/>
        <item x="1524"/>
        <item x="747"/>
        <item x="770"/>
        <item x="1247"/>
        <item x="1497"/>
        <item x="1130"/>
        <item x="77"/>
        <item x="1213"/>
        <item x="239"/>
        <item x="1090"/>
        <item x="1772"/>
        <item x="1786"/>
        <item x="1491"/>
        <item x="1500"/>
        <item x="246"/>
        <item x="1318"/>
        <item x="1269"/>
        <item x="290"/>
        <item x="298"/>
        <item x="1301"/>
        <item x="702"/>
        <item x="1509"/>
        <item x="1255"/>
        <item x="233"/>
        <item x="1721"/>
        <item x="1744"/>
        <item x="122"/>
        <item x="802"/>
        <item x="1278"/>
        <item x="310"/>
        <item x="1773"/>
        <item x="1274"/>
        <item x="464"/>
        <item x="1030"/>
        <item x="17"/>
        <item x="50"/>
        <item x="18"/>
        <item x="275"/>
        <item x="525"/>
        <item x="1181"/>
        <item x="1483"/>
        <item x="805"/>
        <item x="1227"/>
        <item x="994"/>
        <item x="1077"/>
        <item x="529"/>
        <item x="1310"/>
        <item x="1462"/>
        <item x="65"/>
        <item x="564"/>
        <item x="634"/>
        <item x="964"/>
        <item x="961"/>
        <item x="1108"/>
        <item x="1911"/>
        <item x="277"/>
        <item x="1486"/>
        <item x="41"/>
        <item x="1506"/>
        <item x="105"/>
        <item x="1013"/>
        <item x="764"/>
        <item x="255"/>
        <item x="1789"/>
        <item x="1724"/>
        <item x="270"/>
        <item x="1615"/>
        <item x="1499"/>
        <item x="1466"/>
        <item x="59"/>
        <item x="1027"/>
        <item x="1042"/>
        <item x="767"/>
        <item x="1470"/>
        <item x="974"/>
        <item x="1490"/>
        <item x="725"/>
        <item x="1208"/>
        <item x="295"/>
        <item x="750"/>
        <item x="549"/>
        <item x="1066"/>
        <item x="711"/>
        <item x="1787"/>
        <item x="1516"/>
        <item x="1015"/>
        <item x="1467"/>
        <item x="489"/>
        <item x="1019"/>
        <item x="1008"/>
        <item x="23"/>
        <item x="317"/>
        <item x="115"/>
        <item x="1501"/>
        <item x="1843"/>
        <item x="513"/>
        <item x="1630"/>
        <item x="1717"/>
        <item x="1370"/>
        <item x="839"/>
        <item x="1072"/>
        <item x="975"/>
        <item x="1018"/>
        <item x="516"/>
        <item x="1817"/>
        <item x="1025"/>
        <item x="1725"/>
        <item x="517"/>
        <item x="1239"/>
        <item x="473"/>
        <item x="396"/>
        <item x="1260"/>
        <item x="26"/>
        <item x="157"/>
        <item x="490"/>
        <item x="958"/>
        <item x="1503"/>
        <item x="976"/>
        <item x="501"/>
        <item x="1359"/>
        <item x="482"/>
        <item x="1508"/>
        <item x="1555"/>
        <item x="1757"/>
        <item x="452"/>
        <item x="781"/>
        <item x="977"/>
        <item x="1728"/>
        <item x="601"/>
        <item x="226"/>
        <item x="1750"/>
        <item x="1715"/>
        <item x="1103"/>
        <item x="1261"/>
        <item x="287"/>
        <item x="1699"/>
        <item x="717"/>
        <item x="355"/>
        <item x="1535"/>
        <item x="1585"/>
        <item x="1718"/>
        <item x="536"/>
        <item x="470"/>
        <item x="302"/>
        <item x="1737"/>
        <item x="1216"/>
        <item x="647"/>
        <item x="690"/>
        <item x="966"/>
        <item x="348"/>
        <item x="589"/>
        <item x="526"/>
        <item x="996"/>
        <item x="990"/>
        <item x="1701"/>
        <item x="1521"/>
        <item x="1726"/>
        <item x="45"/>
        <item x="982"/>
        <item x="493"/>
        <item x="294"/>
        <item x="1450"/>
        <item x="1106"/>
        <item x="911"/>
        <item x="1748"/>
        <item x="727"/>
        <item x="1634"/>
        <item x="509"/>
        <item x="652"/>
        <item x="28"/>
        <item x="366"/>
        <item x="1029"/>
        <item x="981"/>
        <item x="789"/>
        <item x="496"/>
        <item x="1207"/>
        <item x="510"/>
        <item x="484"/>
        <item x="320"/>
        <item x="308"/>
        <item x="1880"/>
        <item x="1741"/>
        <item x="1224"/>
        <item x="595"/>
        <item x="1241"/>
        <item x="316"/>
        <item x="1252"/>
        <item x="1543"/>
        <item x="566"/>
        <item x="1351"/>
        <item x="562"/>
        <item x="1559"/>
        <item x="874"/>
        <item x="745"/>
        <item x="292"/>
        <item x="1606"/>
        <item x="1455"/>
        <item x="827"/>
        <item x="953"/>
        <item x="1853"/>
        <item x="1293"/>
        <item x="234"/>
        <item x="713"/>
        <item x="1468"/>
        <item x="632"/>
        <item x="1257"/>
        <item x="1558"/>
        <item x="1226"/>
        <item x="795"/>
        <item x="300"/>
        <item x="573"/>
        <item x="505"/>
        <item x="487"/>
        <item x="1053"/>
        <item x="1548"/>
        <item x="1425"/>
        <item x="1496"/>
        <item x="491"/>
        <item x="992"/>
        <item x="758"/>
        <item x="742"/>
        <item x="118"/>
        <item x="36"/>
        <item x="825"/>
        <item x="700"/>
        <item x="1075"/>
        <item x="257"/>
        <item x="846"/>
        <item x="822"/>
        <item x="1327"/>
        <item x="38"/>
        <item x="1309"/>
        <item x="483"/>
        <item x="130"/>
        <item x="1804"/>
        <item x="1248"/>
        <item x="1258"/>
        <item x="1234"/>
        <item x="1114"/>
        <item x="838"/>
        <item x="810"/>
        <item x="1407"/>
        <item x="605"/>
        <item x="195"/>
        <item x="1913"/>
        <item x="818"/>
        <item x="387"/>
        <item x="121"/>
        <item x="1031"/>
        <item x="1060"/>
        <item x="759"/>
        <item x="883"/>
        <item x="1917"/>
        <item x="267"/>
        <item x="281"/>
        <item x="720"/>
        <item x="1097"/>
        <item x="534"/>
        <item x="249"/>
        <item x="1730"/>
        <item x="1333"/>
        <item x="1545"/>
        <item x="978"/>
        <item x="1581"/>
        <item x="1338"/>
        <item x="740"/>
        <item x="572"/>
        <item x="1515"/>
        <item x="970"/>
        <item x="1565"/>
        <item x="753"/>
        <item x="1510"/>
        <item x="997"/>
        <item x="806"/>
        <item x="590"/>
        <item x="528"/>
        <item x="1598"/>
        <item x="897"/>
        <item x="844"/>
        <item x="126"/>
        <item x="1238"/>
        <item x="1802"/>
        <item x="252"/>
        <item x="1232"/>
        <item x="87"/>
        <item x="1477"/>
        <item x="1246"/>
        <item x="1518"/>
        <item x="1785"/>
        <item x="1733"/>
        <item x="656"/>
        <item x="642"/>
        <item x="1587"/>
        <item x="259"/>
        <item x="1381"/>
        <item x="1215"/>
        <item x="1235"/>
        <item x="565"/>
        <item x="527"/>
        <item x="579"/>
        <item x="1811"/>
        <item x="1479"/>
        <item x="538"/>
        <item x="479"/>
        <item x="1003"/>
        <item x="1229"/>
        <item x="94"/>
        <item x="1074"/>
        <item x="570"/>
        <item x="138"/>
        <item x="1731"/>
        <item x="264"/>
        <item x="29"/>
        <item x="1094"/>
        <item x="1249"/>
        <item x="1068"/>
        <item x="103"/>
        <item x="1867"/>
        <item x="952"/>
        <item x="492"/>
        <item x="777"/>
        <item x="1266"/>
        <item x="72"/>
        <item x="1380"/>
        <item x="1325"/>
        <item x="1743"/>
        <item x="1552"/>
        <item x="886"/>
        <item x="1847"/>
        <item x="1259"/>
        <item x="968"/>
        <item x="460"/>
        <item x="1287"/>
        <item x="46"/>
        <item x="734"/>
        <item x="798"/>
        <item x="1487"/>
        <item x="1495"/>
        <item x="993"/>
        <item x="1243"/>
        <item x="306"/>
        <item x="1863"/>
        <item x="1841"/>
        <item x="189"/>
        <item x="813"/>
        <item x="321"/>
        <item x="1719"/>
        <item x="985"/>
        <item x="1328"/>
        <item x="569"/>
        <item x="222"/>
        <item x="779"/>
        <item x="891"/>
        <item x="260"/>
        <item x="1825"/>
        <item x="1537"/>
        <item x="1708"/>
        <item x="591"/>
        <item x="671"/>
        <item x="735"/>
        <item x="1291"/>
        <item x="1352"/>
        <item x="1368"/>
        <item x="1540"/>
        <item x="42"/>
        <item x="837"/>
        <item x="1729"/>
        <item x="1835"/>
        <item x="1702"/>
        <item x="1004"/>
        <item x="1836"/>
        <item x="1872"/>
        <item x="847"/>
        <item x="816"/>
        <item x="904"/>
        <item x="502"/>
        <item x="520"/>
        <item x="1760"/>
        <item x="1374"/>
        <item x="78"/>
        <item x="225"/>
        <item x="723"/>
        <item x="332"/>
        <item x="1754"/>
        <item x="254"/>
        <item x="243"/>
        <item x="1087"/>
        <item x="1099"/>
        <item x="319"/>
        <item x="1485"/>
        <item x="1165"/>
        <item x="385"/>
        <item x="708"/>
        <item x="1044"/>
        <item x="1296"/>
        <item x="266"/>
        <item x="552"/>
        <item x="785"/>
        <item x="1735"/>
        <item x="324"/>
        <item x="1807"/>
        <item x="1033"/>
        <item x="462"/>
        <item x="417"/>
        <item x="1032"/>
        <item x="1379"/>
        <item x="188"/>
        <item x="507"/>
        <item x="998"/>
        <item x="1414"/>
        <item x="37"/>
        <item x="6"/>
        <item x="1275"/>
        <item x="1082"/>
        <item x="340"/>
        <item x="1771"/>
        <item x="1765"/>
        <item x="1217"/>
        <item x="1637"/>
        <item x="555"/>
        <item x="1281"/>
        <item x="341"/>
        <item x="120"/>
        <item x="194"/>
        <item x="454"/>
        <item x="1288"/>
        <item x="1337"/>
        <item x="854"/>
        <item x="1405"/>
        <item x="1716"/>
        <item x="90"/>
        <item x="1092"/>
        <item x="39"/>
        <item x="284"/>
        <item x="1801"/>
        <item x="149"/>
        <item x="1221"/>
        <item x="423"/>
        <item x="450"/>
        <item x="1546"/>
        <item x="1793"/>
        <item x="276"/>
        <item x="420"/>
        <item x="1813"/>
        <item x="666"/>
        <item x="1562"/>
        <item x="1329"/>
        <item x="25"/>
        <item x="1821"/>
        <item x="801"/>
        <item x="1071"/>
        <item x="1397"/>
        <item x="75"/>
        <item x="657"/>
        <item x="338"/>
        <item x="905"/>
        <item x="865"/>
        <item x="160"/>
        <item x="183"/>
        <item x="364"/>
        <item x="1805"/>
        <item x="1000"/>
        <item x="1299"/>
        <item x="1295"/>
        <item x="582"/>
        <item x="1704"/>
        <item x="1473"/>
        <item x="729"/>
        <item x="861"/>
        <item x="842"/>
        <item x="236"/>
        <item x="64"/>
        <item x="597"/>
        <item x="557"/>
        <item x="648"/>
        <item x="1505"/>
        <item x="1445"/>
        <item x="1011"/>
        <item x="1866"/>
        <item x="305"/>
        <item x="1049"/>
        <item x="917"/>
        <item x="530"/>
        <item x="1209"/>
        <item x="132"/>
        <item x="755"/>
        <item x="1727"/>
        <item x="1629"/>
        <item x="1055"/>
        <item x="1879"/>
        <item x="1237"/>
        <item x="613"/>
        <item x="607"/>
        <item x="577"/>
        <item x="732"/>
        <item x="1876"/>
        <item x="408"/>
        <item x="1272"/>
        <item x="1474"/>
        <item x="1088"/>
        <item x="1195"/>
        <item x="61"/>
        <item x="1290"/>
        <item x="804"/>
        <item x="1240"/>
        <item x="97"/>
        <item x="815"/>
        <item x="919"/>
        <item x="123"/>
        <item x="571"/>
        <item x="1304"/>
        <item x="1745"/>
        <item x="1303"/>
        <item x="523"/>
        <item x="358"/>
        <item x="1590"/>
        <item x="360"/>
        <item x="1572"/>
        <item x="1599"/>
        <item x="1602"/>
        <item x="345"/>
        <item x="1770"/>
        <item x="586"/>
        <item x="1523"/>
        <item x="2"/>
        <item x="49"/>
        <item x="1050"/>
        <item x="1653"/>
        <item x="1677"/>
        <item x="1665"/>
        <item x="1377"/>
        <item x="616"/>
        <item x="1538"/>
        <item x="1413"/>
        <item x="477"/>
        <item x="722"/>
        <item x="1110"/>
        <item x="1895"/>
        <item x="374"/>
        <item x="1080"/>
        <item x="263"/>
        <item x="775"/>
        <item x="1349"/>
        <item x="673"/>
        <item x="1844"/>
        <item x="1642"/>
        <item x="849"/>
        <item x="323"/>
        <item x="1611"/>
        <item x="1576"/>
        <item x="1722"/>
        <item x="1840"/>
        <item x="271"/>
        <item x="957"/>
        <item x="1833"/>
        <item x="1465"/>
        <item x="365"/>
        <item x="596"/>
        <item x="639"/>
        <item x="1608"/>
        <item x="1831"/>
        <item x="196"/>
        <item x="248"/>
        <item x="1532"/>
        <item x="1409"/>
        <item x="330"/>
        <item x="410"/>
        <item x="1372"/>
        <item x="1663"/>
        <item x="20"/>
        <item x="414"/>
        <item x="314"/>
        <item x="1163"/>
        <item x="1573"/>
        <item x="1188"/>
        <item x="950"/>
        <item x="1043"/>
        <item x="1542"/>
        <item x="472"/>
        <item x="1214"/>
        <item x="1755"/>
        <item x="119"/>
        <item x="1809"/>
        <item x="192"/>
        <item x="1839"/>
        <item x="1732"/>
        <item x="896"/>
        <item x="1859"/>
        <item x="808"/>
        <item x="756"/>
        <item x="1678"/>
        <item x="1519"/>
        <item x="193"/>
        <item x="1864"/>
        <item x="1658"/>
        <item x="1539"/>
        <item x="245"/>
        <item x="503"/>
        <item x="1522"/>
        <item x="1798"/>
        <item x="608"/>
        <item x="363"/>
        <item x="774"/>
        <item x="979"/>
        <item x="84"/>
        <item x="125"/>
        <item x="198"/>
        <item x="1373"/>
        <item x="322"/>
        <item x="703"/>
        <item x="137"/>
        <item x="1125"/>
        <item x="1567"/>
        <item x="1002"/>
        <item x="166"/>
        <item x="1211"/>
        <item x="1136"/>
        <item x="819"/>
        <item x="1045"/>
        <item x="1672"/>
        <item x="1898"/>
        <item x="1734"/>
        <item x="1586"/>
        <item x="101"/>
        <item x="1856"/>
        <item x="624"/>
        <item x="335"/>
        <item x="1219"/>
        <item x="456"/>
        <item x="1799"/>
        <item x="1264"/>
        <item x="331"/>
        <item x="431"/>
        <item x="1648"/>
        <item x="1779"/>
        <item x="1197"/>
        <item x="1816"/>
        <item x="1298"/>
        <item x="1007"/>
        <item x="730"/>
        <item x="682"/>
        <item x="1795"/>
        <item x="134"/>
        <item x="384"/>
        <item x="1517"/>
        <item x="558"/>
        <item x="667"/>
        <item x="541"/>
        <item x="1294"/>
        <item x="1582"/>
        <item x="803"/>
        <item x="1868"/>
        <item x="1085"/>
        <item x="289"/>
        <item x="1536"/>
        <item x="929"/>
        <item x="1412"/>
        <item x="242"/>
        <item x="150"/>
        <item x="1527"/>
        <item x="89"/>
        <item x="776"/>
        <item x="743"/>
        <item x="1886"/>
        <item x="1666"/>
        <item x="1273"/>
        <item x="1908"/>
        <item x="986"/>
        <item x="757"/>
        <item x="145"/>
        <item x="1271"/>
        <item x="1022"/>
        <item x="1918"/>
        <item x="268"/>
        <item x="1553"/>
        <item x="641"/>
        <item x="908"/>
        <item x="1116"/>
        <item x="359"/>
        <item x="658"/>
        <item x="151"/>
        <item x="297"/>
        <item x="1654"/>
        <item x="162"/>
        <item x="346"/>
        <item x="1024"/>
        <item x="1684"/>
        <item x="799"/>
        <item x="1187"/>
        <item x="116"/>
        <item x="651"/>
        <item x="547"/>
        <item x="1874"/>
        <item x="578"/>
        <item x="279"/>
        <item x="1324"/>
        <item x="748"/>
        <item x="1191"/>
        <item x="600"/>
        <item x="1607"/>
        <item x="841"/>
        <item x="1822"/>
        <item x="778"/>
        <item x="1131"/>
        <item x="858"/>
        <item x="1664"/>
        <item x="282"/>
        <item x="1006"/>
        <item x="129"/>
        <item x="1101"/>
        <item x="659"/>
        <item x="814"/>
        <item x="52"/>
        <item x="1206"/>
        <item x="1780"/>
        <item x="80"/>
        <item x="1618"/>
        <item x="826"/>
        <item x="1408"/>
        <item x="1233"/>
        <item x="1436"/>
        <item x="1361"/>
        <item x="303"/>
        <item x="654"/>
        <item x="1067"/>
        <item x="663"/>
        <item x="272"/>
        <item x="1152"/>
        <item x="154"/>
        <item x="311"/>
        <item x="1525"/>
        <item x="336"/>
        <item x="383"/>
        <item x="584"/>
        <item x="313"/>
        <item x="156"/>
        <item x="184"/>
        <item x="1556"/>
        <item x="1596"/>
        <item x="524"/>
        <item x="67"/>
        <item x="1915"/>
        <item x="1286"/>
        <item x="386"/>
        <item x="178"/>
        <item x="928"/>
        <item x="623"/>
        <item x="1353"/>
        <item x="1424"/>
        <item x="437"/>
        <item x="823"/>
        <item x="869"/>
        <item x="1584"/>
        <item x="481"/>
        <item x="1326"/>
        <item x="1251"/>
        <item x="168"/>
        <item x="1887"/>
        <item x="307"/>
        <item x="1778"/>
        <item x="1364"/>
        <item x="216"/>
        <item x="1854"/>
        <item x="1023"/>
        <item x="14"/>
        <item x="956"/>
        <item x="1070"/>
        <item x="1651"/>
        <item x="706"/>
        <item x="1458"/>
        <item x="921"/>
        <item x="719"/>
        <item x="1520"/>
        <item x="554"/>
        <item x="855"/>
        <item x="1245"/>
        <item x="1814"/>
        <item x="1456"/>
        <item x="1797"/>
        <item x="575"/>
        <item x="100"/>
        <item x="1914"/>
        <item x="1428"/>
        <item x="357"/>
        <item x="1350"/>
        <item x="718"/>
        <item x="1904"/>
        <item x="1285"/>
        <item x="1855"/>
        <item x="792"/>
        <item x="1498"/>
        <item x="333"/>
        <item x="1061"/>
        <item x="1828"/>
        <item x="1065"/>
        <item x="1315"/>
        <item x="1775"/>
        <item x="1320"/>
        <item x="1186"/>
        <item x="1098"/>
        <item x="1300"/>
        <item x="421"/>
        <item x="1600"/>
        <item x="1747"/>
        <item x="370"/>
        <item x="1153"/>
        <item x="879"/>
        <item x="796"/>
        <item x="1126"/>
        <item x="1357"/>
        <item x="1423"/>
        <item x="1877"/>
        <item x="1317"/>
        <item x="1661"/>
        <item x="1633"/>
        <item x="399"/>
        <item x="1595"/>
        <item x="726"/>
        <item x="1901"/>
        <item x="915"/>
        <item x="433"/>
        <item x="1454"/>
        <item x="1331"/>
        <item x="1250"/>
        <item x="784"/>
        <item x="749"/>
        <item x="1693"/>
        <item x="895"/>
        <item x="1481"/>
        <item x="406"/>
        <item x="171"/>
        <item x="1336"/>
        <item x="1646"/>
        <item x="113"/>
        <item x="177"/>
        <item x="860"/>
        <item x="1383"/>
        <item x="1276"/>
        <item x="288"/>
        <item x="159"/>
        <item x="1668"/>
        <item x="461"/>
        <item x="381"/>
        <item x="902"/>
        <item x="1907"/>
        <item x="1838"/>
        <item x="273"/>
        <item x="772"/>
        <item x="1386"/>
        <item x="912"/>
        <item x="1358"/>
        <item x="684"/>
        <item x="367"/>
        <item x="327"/>
        <item x="812"/>
        <item x="1375"/>
        <item x="1826"/>
        <item x="229"/>
        <item x="180"/>
        <item x="907"/>
        <item x="973"/>
        <item x="1052"/>
        <item x="1416"/>
        <item x="535"/>
        <item x="705"/>
        <item x="1171"/>
        <item x="1707"/>
        <item x="1105"/>
        <item x="1156"/>
        <item x="913"/>
        <item x="1921"/>
        <item x="1283"/>
        <item x="1806"/>
        <item x="900"/>
        <item x="1593"/>
        <item x="924"/>
        <item x="8"/>
        <item x="1899"/>
        <item x="1418"/>
        <item x="1896"/>
        <item x="1810"/>
        <item x="1736"/>
        <item x="253"/>
        <item x="347"/>
        <item x="1640"/>
        <item x="146"/>
        <item x="1461"/>
        <item x="1554"/>
        <item x="1330"/>
        <item x="866"/>
        <item x="223"/>
        <item x="1657"/>
        <item x="1419"/>
        <item x="206"/>
        <item x="1297"/>
        <item x="1547"/>
        <item x="1012"/>
        <item x="875"/>
        <item x="401"/>
        <item x="1564"/>
        <item x="1177"/>
        <item x="1343"/>
        <item x="1356"/>
        <item x="831"/>
        <item x="391"/>
        <item x="1279"/>
        <item x="959"/>
        <item x="1242"/>
        <item x="618"/>
        <item x="419"/>
        <item x="197"/>
        <item x="1323"/>
        <item x="1111"/>
        <item x="1903"/>
        <item x="1845"/>
        <item x="1034"/>
        <item x="1529"/>
        <item x="1791"/>
        <item x="1713"/>
        <item x="202"/>
        <item x="1783"/>
        <item x="1143"/>
        <item x="945"/>
        <item x="318"/>
        <item x="1502"/>
        <item x="1341"/>
        <item x="1083"/>
        <item x="620"/>
        <item x="628"/>
        <item x="1873"/>
        <item x="1589"/>
        <item x="556"/>
        <item x="941"/>
        <item x="31"/>
        <item x="1929"/>
        <item x="576"/>
        <item x="1580"/>
        <item x="428"/>
        <item x="638"/>
        <item x="1605"/>
        <item x="1603"/>
        <item x="676"/>
        <item x="1794"/>
        <item x="369"/>
        <item x="1220"/>
        <item x="1819"/>
        <item x="588"/>
        <item x="1282"/>
        <item x="1504"/>
        <item x="33"/>
        <item x="1767"/>
        <item x="834"/>
        <item x="969"/>
        <item x="88"/>
        <item x="754"/>
        <item x="1857"/>
        <item x="334"/>
        <item x="1850"/>
        <item x="432"/>
        <item x="983"/>
        <item x="521"/>
        <item x="1312"/>
        <item x="1168"/>
        <item x="1614"/>
        <item x="1784"/>
        <item x="1645"/>
        <item x="828"/>
        <item x="1905"/>
        <item x="1415"/>
        <item x="1753"/>
        <item x="1925"/>
        <item x="592"/>
        <item x="1109"/>
        <item x="312"/>
        <item x="475"/>
        <item x="1160"/>
        <item x="62"/>
        <item x="553"/>
        <item x="674"/>
        <item x="1162"/>
        <item x="568"/>
        <item x="1768"/>
        <item x="1081"/>
        <item x="1675"/>
        <item x="1469"/>
        <item x="760"/>
        <item x="1723"/>
        <item x="1089"/>
        <item x="1122"/>
        <item x="9"/>
        <item x="93"/>
        <item x="1574"/>
        <item x="1253"/>
        <item x="1056"/>
        <item x="1681"/>
        <item x="1560"/>
        <item x="864"/>
        <item x="972"/>
        <item x="1107"/>
        <item x="1812"/>
        <item x="10"/>
        <item x="1788"/>
        <item x="343"/>
        <item x="79"/>
        <item x="377"/>
        <item x="1441"/>
        <item x="876"/>
        <item x="1175"/>
        <item x="1885"/>
        <item x="376"/>
        <item x="1384"/>
        <item x="402"/>
        <item x="707"/>
        <item x="1403"/>
        <item x="1174"/>
        <item x="593"/>
        <item x="190"/>
        <item x="910"/>
        <item x="1440"/>
        <item x="1178"/>
        <item x="1411"/>
        <item x="1758"/>
        <item x="965"/>
        <item x="545"/>
        <item x="630"/>
        <item x="1622"/>
        <item x="1095"/>
        <item x="786"/>
        <item x="476"/>
        <item x="262"/>
        <item x="1492"/>
        <item x="1883"/>
        <item x="1656"/>
        <item x="678"/>
        <item x="848"/>
        <item x="91"/>
        <item x="1628"/>
        <item x="471"/>
        <item x="1571"/>
        <item x="1431"/>
        <item x="1348"/>
        <item x="862"/>
        <item x="1147"/>
        <item x="1803"/>
        <item x="1575"/>
        <item x="599"/>
        <item x="368"/>
        <item x="71"/>
        <item x="112"/>
        <item x="1818"/>
        <item x="393"/>
        <item x="1679"/>
        <item x="925"/>
        <item x="537"/>
        <item x="672"/>
        <item x="1121"/>
        <item x="1752"/>
        <item x="269"/>
        <item x="1308"/>
        <item x="1852"/>
        <item x="604"/>
        <item x="468"/>
        <item x="594"/>
        <item x="43"/>
        <item x="687"/>
        <item x="926"/>
        <item x="709"/>
        <item x="807"/>
        <item x="1617"/>
        <item x="1579"/>
        <item x="1882"/>
        <item x="892"/>
        <item x="660"/>
        <item x="612"/>
        <item x="13"/>
        <item x="737"/>
        <item x="1054"/>
        <item x="111"/>
        <item x="824"/>
        <item x="1124"/>
        <item x="1189"/>
        <item x="728"/>
        <item x="1604"/>
        <item x="1881"/>
        <item x="1862"/>
        <item x="1334"/>
        <item x="1104"/>
        <item x="655"/>
        <item x="1198"/>
        <item x="539"/>
        <item x="546"/>
        <item x="1145"/>
        <item x="1347"/>
        <item x="701"/>
        <item x="167"/>
        <item x="1365"/>
        <item x="1451"/>
        <item x="1641"/>
        <item x="1037"/>
        <item x="987"/>
        <item x="680"/>
        <item x="514"/>
        <item x="394"/>
        <item x="1289"/>
        <item x="797"/>
        <item x="1676"/>
        <item x="1609"/>
        <item x="995"/>
        <item x="1244"/>
        <item x="1894"/>
        <item x="48"/>
        <item x="1202"/>
        <item x="99"/>
        <item x="821"/>
        <item x="247"/>
        <item x="543"/>
        <item x="1135"/>
        <item x="1149"/>
        <item x="1541"/>
        <item x="1888"/>
        <item x="704"/>
        <item x="40"/>
        <item x="1047"/>
        <item x="636"/>
        <item x="500"/>
        <item x="1084"/>
        <item x="95"/>
        <item x="60"/>
        <item x="1340"/>
        <item x="880"/>
        <item x="1154"/>
        <item x="1069"/>
        <item x="859"/>
        <item x="899"/>
        <item x="811"/>
        <item x="104"/>
        <item x="407"/>
        <item x="1382"/>
        <item x="762"/>
        <item x="1514"/>
        <item x="1858"/>
        <item x="434"/>
        <item x="793"/>
        <item x="1623"/>
        <item x="1406"/>
        <item x="790"/>
        <item x="74"/>
        <item x="1912"/>
        <item x="1781"/>
        <item x="92"/>
        <item x="201"/>
        <item x="1039"/>
        <item x="1776"/>
        <item x="1117"/>
        <item x="1531"/>
        <item x="148"/>
        <item x="1057"/>
        <item x="1376"/>
        <item x="356"/>
        <item x="791"/>
        <item x="1170"/>
        <item x="1625"/>
        <item x="946"/>
        <item x="1212"/>
        <item x="1319"/>
        <item x="1766"/>
        <item x="851"/>
        <item x="155"/>
        <item x="352"/>
        <item x="559"/>
        <item x="1476"/>
        <item x="932"/>
        <item x="1091"/>
        <item x="1369"/>
        <item x="1335"/>
        <item x="210"/>
        <item x="448"/>
        <item x="845"/>
        <item x="1782"/>
        <item x="1577"/>
        <item x="1176"/>
        <item x="889"/>
        <item x="1021"/>
        <item x="1263"/>
        <item x="1268"/>
        <item x="1869"/>
        <item x="1865"/>
        <item x="619"/>
        <item x="1316"/>
        <item x="1655"/>
        <item x="1134"/>
        <item x="405"/>
        <item x="413"/>
        <item x="868"/>
        <item x="1362"/>
        <item x="301"/>
        <item x="1076"/>
        <item x="1683"/>
        <item x="664"/>
        <item x="1113"/>
        <item x="1649"/>
        <item x="882"/>
        <item x="1158"/>
        <item x="1046"/>
        <item x="1118"/>
        <item x="906"/>
        <item x="1777"/>
        <item x="1146"/>
        <item x="1155"/>
        <item x="108"/>
        <item x="1815"/>
        <item x="835"/>
        <item x="1889"/>
        <item x="1430"/>
        <item x="351"/>
        <item x="922"/>
        <item x="1265"/>
        <item x="169"/>
        <item x="382"/>
        <item x="1142"/>
        <item x="884"/>
        <item x="836"/>
        <item x="1302"/>
        <item x="739"/>
        <item x="901"/>
        <item x="544"/>
        <item x="81"/>
        <item x="1624"/>
        <item x="645"/>
        <item x="1890"/>
        <item x="1402"/>
        <item x="203"/>
        <item x="1830"/>
        <item x="1417"/>
        <item x="1051"/>
        <item x="1284"/>
        <item x="1568"/>
        <item x="1871"/>
        <item x="668"/>
        <item x="679"/>
        <item x="429"/>
        <item x="430"/>
        <item x="86"/>
        <item x="766"/>
        <item x="637"/>
        <item x="832"/>
        <item x="415"/>
        <item x="989"/>
        <item x="446"/>
        <item x="1100"/>
        <item x="1133"/>
        <item x="1769"/>
        <item x="1891"/>
        <item x="274"/>
        <item x="606"/>
        <item x="1395"/>
        <item x="1667"/>
        <item x="1148"/>
        <item x="1079"/>
        <item x="710"/>
        <item x="1591"/>
        <item x="1026"/>
        <item x="1180"/>
        <item x="1115"/>
        <item x="3"/>
        <item x="622"/>
        <item x="890"/>
        <item x="1394"/>
        <item x="1670"/>
        <item x="773"/>
        <item x="1367"/>
        <item x="34"/>
        <item x="614"/>
        <item x="1528"/>
        <item x="1342"/>
        <item x="1123"/>
        <item x="918"/>
        <item x="1132"/>
        <item x="611"/>
        <item x="441"/>
        <item x="1141"/>
        <item x="1621"/>
        <item x="390"/>
        <item x="55"/>
        <item x="937"/>
        <item x="1592"/>
        <item x="1526"/>
        <item x="1346"/>
        <item x="583"/>
        <item x="1429"/>
        <item x="76"/>
        <item x="1557"/>
        <item x="68"/>
        <item x="1093"/>
        <item x="1086"/>
        <item x="1790"/>
        <item x="1697"/>
        <item x="373"/>
        <item x="380"/>
        <item x="69"/>
        <item x="829"/>
        <item x="418"/>
        <item x="170"/>
        <item x="1059"/>
        <item x="1472"/>
        <item x="1129"/>
        <item x="670"/>
        <item x="695"/>
        <item x="1150"/>
        <item x="644"/>
        <item x="1427"/>
        <item x="5"/>
        <item x="1834"/>
        <item x="227"/>
        <item x="485"/>
        <item x="733"/>
        <item x="980"/>
        <item x="1550"/>
        <item x="1169"/>
        <item x="426"/>
        <item x="153"/>
        <item x="436"/>
        <item x="24"/>
        <item x="350"/>
        <item x="1453"/>
        <item x="1823"/>
        <item x="1192"/>
        <item x="1144"/>
        <item x="53"/>
        <item x="152"/>
        <item x="379"/>
        <item x="1204"/>
        <item x="1442"/>
        <item x="286"/>
        <item x="1612"/>
        <item x="1400"/>
        <item x="427"/>
        <item x="208"/>
        <item x="751"/>
        <item x="610"/>
        <item x="458"/>
        <item x="1636"/>
        <item x="1127"/>
        <item x="1167"/>
        <item x="1305"/>
        <item x="179"/>
        <item x="1420"/>
        <item x="878"/>
        <item x="898"/>
        <item x="1388"/>
        <item x="643"/>
        <item x="627"/>
        <item x="940"/>
        <item x="893"/>
        <item x="916"/>
        <item x="1063"/>
        <item x="1443"/>
        <item x="863"/>
        <item x="1644"/>
        <item x="1632"/>
        <item x="1137"/>
        <item x="931"/>
        <item x="935"/>
        <item x="683"/>
        <item x="1551"/>
        <item x="58"/>
        <item x="1387"/>
        <item x="1307"/>
        <item x="1410"/>
        <item x="689"/>
        <item x="1530"/>
        <item x="1613"/>
        <item x="388"/>
        <item x="1422"/>
        <item x="1225"/>
        <item x="1926"/>
        <item x="699"/>
        <item x="57"/>
        <item x="207"/>
        <item x="141"/>
        <item x="885"/>
        <item x="438"/>
        <item x="1597"/>
        <item x="909"/>
        <item x="1878"/>
        <item x="1354"/>
        <item x="820"/>
        <item x="158"/>
        <item x="1448"/>
        <item x="1139"/>
        <item x="1680"/>
        <item x="649"/>
        <item x="1173"/>
        <item x="375"/>
        <item x="1829"/>
        <item x="1616"/>
        <item x="1166"/>
        <item x="693"/>
        <item x="1689"/>
        <item x="688"/>
        <item x="325"/>
        <item x="218"/>
        <item x="403"/>
        <item x="176"/>
        <item x="1036"/>
        <item x="109"/>
        <item x="444"/>
        <item x="1393"/>
        <item x="1438"/>
        <item x="185"/>
        <item x="411"/>
        <item x="412"/>
        <item x="1660"/>
        <item x="1659"/>
        <item x="1058"/>
        <item x="930"/>
        <item x="425"/>
        <item x="1480"/>
        <item x="696"/>
        <item x="522"/>
        <item x="877"/>
        <item x="1205"/>
        <item x="881"/>
        <item x="304"/>
        <item x="646"/>
        <item x="1313"/>
        <item x="144"/>
        <item x="1200"/>
        <item x="1073"/>
        <item x="1686"/>
        <item x="1366"/>
        <item x="1433"/>
        <item x="1631"/>
        <item x="1849"/>
        <item x="1194"/>
        <item x="1390"/>
        <item x="1647"/>
        <item x="175"/>
        <item x="1435"/>
        <item x="923"/>
        <item x="140"/>
        <item x="1190"/>
        <item x="1652"/>
        <item x="963"/>
        <item x="853"/>
        <item x="1601"/>
        <item x="852"/>
        <item x="1392"/>
        <item x="1842"/>
        <item x="948"/>
        <item x="1040"/>
        <item x="1421"/>
        <item x="214"/>
        <item x="1482"/>
        <item x="677"/>
        <item x="1157"/>
        <item x="1161"/>
        <item x="400"/>
        <item x="903"/>
        <item x="1909"/>
        <item x="1669"/>
        <item x="927"/>
        <item x="181"/>
        <item x="1619"/>
        <item x="551"/>
        <item x="1897"/>
        <item x="1360"/>
        <item x="172"/>
        <item x="135"/>
        <item x="609"/>
        <item x="933"/>
        <item x="867"/>
        <item x="675"/>
        <item x="1610"/>
        <item x="629"/>
        <item x="4"/>
        <item x="870"/>
        <item x="887"/>
        <item x="445"/>
        <item x="967"/>
        <item x="389"/>
        <item x="947"/>
        <item x="142"/>
        <item x="856"/>
        <item x="1920"/>
        <item x="1355"/>
        <item x="1696"/>
        <item x="1846"/>
        <item x="1694"/>
        <item x="251"/>
        <item x="200"/>
        <item x="1389"/>
        <item x="954"/>
        <item x="1151"/>
        <item x="1385"/>
        <item x="1927"/>
        <item x="182"/>
        <item x="1112"/>
        <item x="440"/>
        <item x="1396"/>
        <item x="96"/>
        <item x="1199"/>
        <item x="422"/>
        <item x="1138"/>
        <item x="1928"/>
        <item x="698"/>
        <item x="1447"/>
        <item x="894"/>
        <item x="1870"/>
        <item x="621"/>
        <item x="1183"/>
        <item x="1643"/>
        <item x="164"/>
        <item x="1626"/>
        <item x="173"/>
        <item x="131"/>
        <item x="1119"/>
        <item x="35"/>
        <item x="685"/>
        <item x="681"/>
        <item x="1434"/>
        <item x="1893"/>
        <item x="943"/>
        <item x="787"/>
        <item x="938"/>
        <item x="1687"/>
        <item x="1837"/>
        <item x="936"/>
        <item x="1761"/>
        <item x="1164"/>
        <item x="1650"/>
        <item x="692"/>
        <item x="1902"/>
        <item x="1437"/>
        <item x="1875"/>
        <item x="1203"/>
        <item x="1820"/>
        <item x="12"/>
        <item x="653"/>
        <item x="1459"/>
        <item x="914"/>
        <item x="694"/>
        <item x="1120"/>
        <item x="442"/>
        <item x="633"/>
        <item x="212"/>
        <item x="939"/>
        <item x="1638"/>
        <item x="1892"/>
        <item x="1860"/>
        <item x="1673"/>
        <item x="465"/>
        <item x="1201"/>
        <item x="771"/>
        <item x="1923"/>
        <item x="449"/>
        <item x="697"/>
        <item x="1692"/>
        <item x="840"/>
        <item x="1391"/>
        <item x="1720"/>
        <item x="143"/>
        <item x="988"/>
        <item x="1401"/>
        <item x="1196"/>
        <item x="21"/>
        <item x="788"/>
        <item x="1691"/>
        <item x="1620"/>
        <item x="944"/>
        <item x="238"/>
        <item x="635"/>
        <item x="1662"/>
        <item x="378"/>
        <item x="511"/>
        <item x="1028"/>
        <item x="1900"/>
        <item x="888"/>
        <item x="1919"/>
        <item x="991"/>
        <item x="1344"/>
        <item x="1159"/>
        <item x="1140"/>
        <item x="724"/>
        <item x="1292"/>
        <item x="1179"/>
        <item x="228"/>
        <item x="1444"/>
        <item x="873"/>
        <item x="117"/>
        <item x="1262"/>
        <item x="1439"/>
        <item x="372"/>
        <item x="1569"/>
        <item x="615"/>
        <item x="447"/>
        <item x="217"/>
        <item x="669"/>
        <item x="416"/>
        <item x="1363"/>
        <item x="174"/>
        <item x="1910"/>
        <item x="515"/>
        <item x="409"/>
        <item x="1583"/>
        <item x="951"/>
        <item x="209"/>
        <item x="404"/>
        <item x="843"/>
        <item x="1906"/>
        <item x="1763"/>
        <item x="1463"/>
        <item x="44"/>
        <item x="1426"/>
        <item x="211"/>
        <item x="16"/>
        <item x="395"/>
        <item x="1378"/>
        <item x="1128"/>
        <item x="949"/>
        <item x="661"/>
        <item x="1635"/>
        <item x="124"/>
        <item x="920"/>
        <item x="371"/>
        <item x="51"/>
        <item x="435"/>
        <item x="686"/>
        <item x="199"/>
        <item x="1193"/>
        <item x="691"/>
        <item x="219"/>
        <item x="136"/>
        <item x="165"/>
        <item x="1446"/>
        <item x="934"/>
        <item x="1916"/>
        <item x="1182"/>
        <item x="1690"/>
        <item x="147"/>
        <item x="439"/>
        <item x="540"/>
        <item x="1432"/>
        <item x="205"/>
        <item x="204"/>
        <item x="1674"/>
        <item x="1671"/>
        <item x="213"/>
        <item x="942"/>
        <item x="398"/>
        <item x="1172"/>
        <item x="765"/>
        <item x="1685"/>
        <item x="215"/>
        <item x="1345"/>
        <item x="7"/>
        <item x="133"/>
        <item x="1740"/>
        <item x="285"/>
        <item x="220"/>
        <item x="1184"/>
        <item x="70"/>
        <item x="191"/>
        <item x="280"/>
        <item x="1512"/>
        <item x="1832"/>
        <item x="128"/>
        <item x="85"/>
        <item x="344"/>
        <item x="1254"/>
        <item x="139"/>
        <item x="850"/>
        <item x="741"/>
        <item x="221"/>
        <item x="83"/>
        <item x="1695"/>
        <item x="187"/>
        <item x="1017"/>
        <item x="1404"/>
        <item x="1688"/>
        <item x="488"/>
        <item x="984"/>
        <item x="1230"/>
        <item x="163"/>
        <item x="186"/>
        <item x="54"/>
        <item t="default"/>
      </items>
    </pivotField>
    <pivotField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dataFields count="1">
    <dataField name="Soma de Valor Pago" fld="5" baseField="0" baseItem="0"/>
  </dataFields>
  <formats count="2">
    <format dxfId="4">
      <pivotArea outline="0" collapsedLevelsAreSubtotals="1" fieldPosition="0"/>
    </format>
    <format dxfId="5">
      <pivotArea dataOnly="0" labelOnly="1" outline="0" axis="axisValues" fieldPosition="0"/>
    </format>
  </formats>
  <chartFormats count="5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1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1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1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1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48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49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50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5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52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2" format="5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2" format="54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55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2" format="56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2" format="57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2" format="58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2989A0-6FC1-468A-8771-9BD37A917000}" name="Tabela dinâmica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2:B11" firstHeaderRow="1" firstDataRow="1" firstDataCol="1"/>
  <pivotFields count="8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dataField="1" showAll="0">
      <items count="1931">
        <item x="1399"/>
        <item x="603"/>
        <item x="1627"/>
        <item x="1306"/>
        <item x="809"/>
        <item x="640"/>
        <item x="283"/>
        <item x="326"/>
        <item x="1924"/>
        <item x="1185"/>
        <item x="1594"/>
        <item x="662"/>
        <item x="392"/>
        <item x="443"/>
        <item x="1682"/>
        <item x="512"/>
        <item x="361"/>
        <item x="782"/>
        <item x="1922"/>
        <item x="581"/>
        <item x="1712"/>
        <item x="533"/>
        <item x="1764"/>
        <item x="542"/>
        <item x="1824"/>
        <item x="625"/>
        <item x="650"/>
        <item x="455"/>
        <item x="506"/>
        <item x="585"/>
        <item x="1774"/>
        <item x="1371"/>
        <item x="817"/>
        <item x="631"/>
        <item x="230"/>
        <item x="258"/>
        <item x="494"/>
        <item x="665"/>
        <item x="349"/>
        <item x="1507"/>
        <item x="561"/>
        <item x="626"/>
        <item x="602"/>
        <item x="451"/>
        <item x="480"/>
        <item x="580"/>
        <item x="1010"/>
        <item x="486"/>
        <item x="548"/>
        <item x="550"/>
        <item x="1267"/>
        <item x="459"/>
        <item x="1759"/>
        <item x="231"/>
        <item x="1322"/>
        <item x="1222"/>
        <item x="1808"/>
        <item x="1563"/>
        <item x="1218"/>
        <item x="712"/>
        <item x="1460"/>
        <item x="342"/>
        <item x="560"/>
        <item x="508"/>
        <item x="353"/>
        <item x="1493"/>
        <item x="519"/>
        <item x="574"/>
        <item x="1848"/>
        <item x="457"/>
        <item x="424"/>
        <item x="1488"/>
        <item x="1398"/>
        <item x="495"/>
        <item x="463"/>
        <item x="1884"/>
        <item x="763"/>
        <item x="567"/>
        <item x="504"/>
        <item x="1710"/>
        <item x="1534"/>
        <item x="1570"/>
        <item x="1851"/>
        <item x="1005"/>
        <item x="1706"/>
        <item x="337"/>
        <item x="1827"/>
        <item x="1533"/>
        <item x="721"/>
        <item x="1639"/>
        <item x="1001"/>
        <item x="1511"/>
        <item x="1321"/>
        <item x="1800"/>
        <item x="1484"/>
        <item x="1102"/>
        <item x="1078"/>
        <item x="397"/>
        <item x="235"/>
        <item x="1698"/>
        <item x="716"/>
        <item x="1270"/>
        <item x="315"/>
        <item x="780"/>
        <item x="1020"/>
        <item x="1489"/>
        <item x="1566"/>
        <item x="736"/>
        <item x="857"/>
        <item x="752"/>
        <item x="833"/>
        <item x="1228"/>
        <item x="241"/>
        <item x="1035"/>
        <item x="1041"/>
        <item x="715"/>
        <item x="1494"/>
        <item x="0"/>
        <item x="1513"/>
        <item x="1756"/>
        <item x="47"/>
        <item x="309"/>
        <item x="497"/>
        <item x="532"/>
        <item x="466"/>
        <item x="296"/>
        <item x="960"/>
        <item x="531"/>
        <item x="744"/>
        <item x="1738"/>
        <item x="1062"/>
        <item x="478"/>
        <item x="299"/>
        <item x="738"/>
        <item x="1096"/>
        <item x="1236"/>
        <item x="1544"/>
        <item x="1796"/>
        <item x="1711"/>
        <item x="453"/>
        <item x="11"/>
        <item x="1210"/>
        <item x="102"/>
        <item x="63"/>
        <item x="27"/>
        <item x="1705"/>
        <item x="32"/>
        <item x="1048"/>
        <item x="328"/>
        <item x="354"/>
        <item x="106"/>
        <item x="1339"/>
        <item x="518"/>
        <item x="1751"/>
        <item x="110"/>
        <item x="1311"/>
        <item x="15"/>
        <item x="467"/>
        <item x="82"/>
        <item x="1762"/>
        <item x="1231"/>
        <item x="1471"/>
        <item x="746"/>
        <item x="1280"/>
        <item x="114"/>
        <item x="768"/>
        <item x="783"/>
        <item x="1314"/>
        <item x="999"/>
        <item x="127"/>
        <item x="19"/>
        <item x="339"/>
        <item x="1256"/>
        <item x="1742"/>
        <item x="73"/>
        <item x="261"/>
        <item x="161"/>
        <item x="474"/>
        <item x="1703"/>
        <item x="1714"/>
        <item x="1700"/>
        <item x="107"/>
        <item x="871"/>
        <item x="30"/>
        <item x="499"/>
        <item x="800"/>
        <item x="1449"/>
        <item x="971"/>
        <item x="1457"/>
        <item x="955"/>
        <item x="329"/>
        <item x="1064"/>
        <item x="240"/>
        <item x="278"/>
        <item x="1478"/>
        <item x="1016"/>
        <item x="1277"/>
        <item x="56"/>
        <item x="714"/>
        <item x="291"/>
        <item x="469"/>
        <item x="598"/>
        <item x="761"/>
        <item x="22"/>
        <item x="224"/>
        <item x="769"/>
        <item x="232"/>
        <item x="617"/>
        <item x="872"/>
        <item x="1588"/>
        <item x="1739"/>
        <item x="1452"/>
        <item x="1861"/>
        <item x="1464"/>
        <item x="794"/>
        <item x="1009"/>
        <item x="237"/>
        <item x="563"/>
        <item x="1792"/>
        <item x="1549"/>
        <item x="587"/>
        <item x="256"/>
        <item x="1475"/>
        <item x="962"/>
        <item x="66"/>
        <item x="1223"/>
        <item x="830"/>
        <item x="1038"/>
        <item x="731"/>
        <item x="1709"/>
        <item x="1746"/>
        <item x="244"/>
        <item x="1749"/>
        <item x="1"/>
        <item x="362"/>
        <item x="1578"/>
        <item x="498"/>
        <item x="265"/>
        <item x="98"/>
        <item x="250"/>
        <item x="1332"/>
        <item x="1561"/>
        <item x="293"/>
        <item x="1014"/>
        <item x="1524"/>
        <item x="747"/>
        <item x="770"/>
        <item x="1247"/>
        <item x="1497"/>
        <item x="1130"/>
        <item x="77"/>
        <item x="1213"/>
        <item x="239"/>
        <item x="1090"/>
        <item x="1772"/>
        <item x="1786"/>
        <item x="1491"/>
        <item x="1500"/>
        <item x="246"/>
        <item x="1318"/>
        <item x="1269"/>
        <item x="290"/>
        <item x="298"/>
        <item x="1301"/>
        <item x="702"/>
        <item x="1509"/>
        <item x="1255"/>
        <item x="233"/>
        <item x="1721"/>
        <item x="1744"/>
        <item x="122"/>
        <item x="802"/>
        <item x="1278"/>
        <item x="310"/>
        <item x="1773"/>
        <item x="1274"/>
        <item x="464"/>
        <item x="1030"/>
        <item x="17"/>
        <item x="50"/>
        <item x="18"/>
        <item x="275"/>
        <item x="525"/>
        <item x="1181"/>
        <item x="1483"/>
        <item x="805"/>
        <item x="1227"/>
        <item x="994"/>
        <item x="1077"/>
        <item x="529"/>
        <item x="1310"/>
        <item x="1462"/>
        <item x="65"/>
        <item x="564"/>
        <item x="634"/>
        <item x="964"/>
        <item x="961"/>
        <item x="1108"/>
        <item x="1911"/>
        <item x="277"/>
        <item x="1486"/>
        <item x="41"/>
        <item x="1506"/>
        <item x="105"/>
        <item x="1013"/>
        <item x="764"/>
        <item x="255"/>
        <item x="1789"/>
        <item x="1724"/>
        <item x="270"/>
        <item x="1615"/>
        <item x="1499"/>
        <item x="1466"/>
        <item x="59"/>
        <item x="1027"/>
        <item x="1042"/>
        <item x="767"/>
        <item x="1470"/>
        <item x="974"/>
        <item x="1490"/>
        <item x="725"/>
        <item x="1208"/>
        <item x="295"/>
        <item x="750"/>
        <item x="549"/>
        <item x="1066"/>
        <item x="711"/>
        <item x="1787"/>
        <item x="1516"/>
        <item x="1015"/>
        <item x="1467"/>
        <item x="489"/>
        <item x="1019"/>
        <item x="1008"/>
        <item x="23"/>
        <item x="317"/>
        <item x="115"/>
        <item x="1501"/>
        <item x="1843"/>
        <item x="513"/>
        <item x="1630"/>
        <item x="1717"/>
        <item x="1370"/>
        <item x="839"/>
        <item x="1072"/>
        <item x="975"/>
        <item x="1018"/>
        <item x="516"/>
        <item x="1817"/>
        <item x="1025"/>
        <item x="1725"/>
        <item x="517"/>
        <item x="1239"/>
        <item x="473"/>
        <item x="396"/>
        <item x="1260"/>
        <item x="26"/>
        <item x="157"/>
        <item x="490"/>
        <item x="958"/>
        <item x="1503"/>
        <item x="976"/>
        <item x="501"/>
        <item x="1359"/>
        <item x="482"/>
        <item x="1508"/>
        <item x="1555"/>
        <item x="1757"/>
        <item x="452"/>
        <item x="781"/>
        <item x="977"/>
        <item x="1728"/>
        <item x="601"/>
        <item x="226"/>
        <item x="1750"/>
        <item x="1715"/>
        <item x="1103"/>
        <item x="1261"/>
        <item x="287"/>
        <item x="1699"/>
        <item x="717"/>
        <item x="355"/>
        <item x="1535"/>
        <item x="1585"/>
        <item x="1718"/>
        <item x="536"/>
        <item x="470"/>
        <item x="302"/>
        <item x="1737"/>
        <item x="1216"/>
        <item x="647"/>
        <item x="690"/>
        <item x="966"/>
        <item x="348"/>
        <item x="589"/>
        <item x="526"/>
        <item x="996"/>
        <item x="990"/>
        <item x="1701"/>
        <item x="1521"/>
        <item x="1726"/>
        <item x="45"/>
        <item x="982"/>
        <item x="493"/>
        <item x="294"/>
        <item x="1450"/>
        <item x="1106"/>
        <item x="911"/>
        <item x="1748"/>
        <item x="727"/>
        <item x="1634"/>
        <item x="509"/>
        <item x="652"/>
        <item x="28"/>
        <item x="366"/>
        <item x="1029"/>
        <item x="981"/>
        <item x="789"/>
        <item x="496"/>
        <item x="1207"/>
        <item x="510"/>
        <item x="484"/>
        <item x="320"/>
        <item x="308"/>
        <item x="1880"/>
        <item x="1741"/>
        <item x="1224"/>
        <item x="595"/>
        <item x="1241"/>
        <item x="316"/>
        <item x="1252"/>
        <item x="1543"/>
        <item x="566"/>
        <item x="1351"/>
        <item x="562"/>
        <item x="1559"/>
        <item x="874"/>
        <item x="745"/>
        <item x="292"/>
        <item x="1606"/>
        <item x="1455"/>
        <item x="827"/>
        <item x="953"/>
        <item x="1853"/>
        <item x="1293"/>
        <item x="234"/>
        <item x="713"/>
        <item x="1468"/>
        <item x="632"/>
        <item x="1257"/>
        <item x="1558"/>
        <item x="1226"/>
        <item x="795"/>
        <item x="300"/>
        <item x="573"/>
        <item x="505"/>
        <item x="487"/>
        <item x="1053"/>
        <item x="1548"/>
        <item x="1425"/>
        <item x="1496"/>
        <item x="491"/>
        <item x="992"/>
        <item x="758"/>
        <item x="742"/>
        <item x="118"/>
        <item x="36"/>
        <item x="825"/>
        <item x="700"/>
        <item x="1075"/>
        <item x="257"/>
        <item x="846"/>
        <item x="822"/>
        <item x="1327"/>
        <item x="38"/>
        <item x="1309"/>
        <item x="483"/>
        <item x="130"/>
        <item x="1804"/>
        <item x="1248"/>
        <item x="1258"/>
        <item x="1234"/>
        <item x="1114"/>
        <item x="838"/>
        <item x="810"/>
        <item x="1407"/>
        <item x="605"/>
        <item x="195"/>
        <item x="1913"/>
        <item x="818"/>
        <item x="387"/>
        <item x="121"/>
        <item x="1031"/>
        <item x="1060"/>
        <item x="759"/>
        <item x="883"/>
        <item x="1917"/>
        <item x="267"/>
        <item x="281"/>
        <item x="720"/>
        <item x="1097"/>
        <item x="534"/>
        <item x="249"/>
        <item x="1730"/>
        <item x="1333"/>
        <item x="1545"/>
        <item x="978"/>
        <item x="1581"/>
        <item x="1338"/>
        <item x="740"/>
        <item x="572"/>
        <item x="1515"/>
        <item x="970"/>
        <item x="1565"/>
        <item x="753"/>
        <item x="1510"/>
        <item x="997"/>
        <item x="806"/>
        <item x="590"/>
        <item x="528"/>
        <item x="1598"/>
        <item x="897"/>
        <item x="844"/>
        <item x="126"/>
        <item x="1238"/>
        <item x="1802"/>
        <item x="252"/>
        <item x="1232"/>
        <item x="87"/>
        <item x="1477"/>
        <item x="1246"/>
        <item x="1518"/>
        <item x="1785"/>
        <item x="1733"/>
        <item x="656"/>
        <item x="642"/>
        <item x="1587"/>
        <item x="259"/>
        <item x="1381"/>
        <item x="1215"/>
        <item x="1235"/>
        <item x="565"/>
        <item x="527"/>
        <item x="579"/>
        <item x="1811"/>
        <item x="1479"/>
        <item x="538"/>
        <item x="479"/>
        <item x="1003"/>
        <item x="1229"/>
        <item x="94"/>
        <item x="1074"/>
        <item x="570"/>
        <item x="138"/>
        <item x="1731"/>
        <item x="264"/>
        <item x="29"/>
        <item x="1094"/>
        <item x="1249"/>
        <item x="1068"/>
        <item x="103"/>
        <item x="1867"/>
        <item x="952"/>
        <item x="492"/>
        <item x="777"/>
        <item x="1266"/>
        <item x="72"/>
        <item x="1380"/>
        <item x="1325"/>
        <item x="1743"/>
        <item x="1552"/>
        <item x="886"/>
        <item x="1847"/>
        <item x="1259"/>
        <item x="968"/>
        <item x="460"/>
        <item x="1287"/>
        <item x="46"/>
        <item x="734"/>
        <item x="798"/>
        <item x="1487"/>
        <item x="1495"/>
        <item x="993"/>
        <item x="1243"/>
        <item x="306"/>
        <item x="1863"/>
        <item x="1841"/>
        <item x="189"/>
        <item x="813"/>
        <item x="321"/>
        <item x="1719"/>
        <item x="985"/>
        <item x="1328"/>
        <item x="569"/>
        <item x="222"/>
        <item x="779"/>
        <item x="891"/>
        <item x="260"/>
        <item x="1825"/>
        <item x="1537"/>
        <item x="1708"/>
        <item x="591"/>
        <item x="671"/>
        <item x="735"/>
        <item x="1291"/>
        <item x="1352"/>
        <item x="1368"/>
        <item x="1540"/>
        <item x="42"/>
        <item x="837"/>
        <item x="1729"/>
        <item x="1835"/>
        <item x="1702"/>
        <item x="1004"/>
        <item x="1836"/>
        <item x="1872"/>
        <item x="847"/>
        <item x="816"/>
        <item x="904"/>
        <item x="502"/>
        <item x="520"/>
        <item x="1760"/>
        <item x="1374"/>
        <item x="78"/>
        <item x="225"/>
        <item x="723"/>
        <item x="332"/>
        <item x="1754"/>
        <item x="254"/>
        <item x="243"/>
        <item x="1087"/>
        <item x="1099"/>
        <item x="319"/>
        <item x="1485"/>
        <item x="1165"/>
        <item x="385"/>
        <item x="708"/>
        <item x="1044"/>
        <item x="1296"/>
        <item x="266"/>
        <item x="552"/>
        <item x="785"/>
        <item x="1735"/>
        <item x="324"/>
        <item x="1807"/>
        <item x="1033"/>
        <item x="462"/>
        <item x="417"/>
        <item x="1032"/>
        <item x="1379"/>
        <item x="188"/>
        <item x="507"/>
        <item x="998"/>
        <item x="1414"/>
        <item x="37"/>
        <item x="6"/>
        <item x="1275"/>
        <item x="1082"/>
        <item x="340"/>
        <item x="1771"/>
        <item x="1765"/>
        <item x="1217"/>
        <item x="1637"/>
        <item x="555"/>
        <item x="1281"/>
        <item x="341"/>
        <item x="120"/>
        <item x="194"/>
        <item x="454"/>
        <item x="1288"/>
        <item x="1337"/>
        <item x="854"/>
        <item x="1405"/>
        <item x="1716"/>
        <item x="90"/>
        <item x="1092"/>
        <item x="39"/>
        <item x="284"/>
        <item x="1801"/>
        <item x="149"/>
        <item x="1221"/>
        <item x="423"/>
        <item x="450"/>
        <item x="1546"/>
        <item x="1793"/>
        <item x="276"/>
        <item x="420"/>
        <item x="1813"/>
        <item x="666"/>
        <item x="1562"/>
        <item x="1329"/>
        <item x="25"/>
        <item x="1821"/>
        <item x="801"/>
        <item x="1071"/>
        <item x="1397"/>
        <item x="75"/>
        <item x="657"/>
        <item x="338"/>
        <item x="905"/>
        <item x="865"/>
        <item x="160"/>
        <item x="183"/>
        <item x="364"/>
        <item x="1805"/>
        <item x="1000"/>
        <item x="1299"/>
        <item x="1295"/>
        <item x="582"/>
        <item x="1704"/>
        <item x="1473"/>
        <item x="729"/>
        <item x="861"/>
        <item x="842"/>
        <item x="236"/>
        <item x="64"/>
        <item x="597"/>
        <item x="557"/>
        <item x="648"/>
        <item x="1505"/>
        <item x="1445"/>
        <item x="1011"/>
        <item x="1866"/>
        <item x="305"/>
        <item x="1049"/>
        <item x="917"/>
        <item x="530"/>
        <item x="1209"/>
        <item x="132"/>
        <item x="755"/>
        <item x="1727"/>
        <item x="1629"/>
        <item x="1055"/>
        <item x="1879"/>
        <item x="1237"/>
        <item x="613"/>
        <item x="607"/>
        <item x="577"/>
        <item x="732"/>
        <item x="1876"/>
        <item x="408"/>
        <item x="1272"/>
        <item x="1474"/>
        <item x="1088"/>
        <item x="1195"/>
        <item x="61"/>
        <item x="1290"/>
        <item x="804"/>
        <item x="1240"/>
        <item x="97"/>
        <item x="815"/>
        <item x="919"/>
        <item x="123"/>
        <item x="571"/>
        <item x="1304"/>
        <item x="1745"/>
        <item x="1303"/>
        <item x="523"/>
        <item x="358"/>
        <item x="1590"/>
        <item x="360"/>
        <item x="1572"/>
        <item x="1599"/>
        <item x="1602"/>
        <item x="345"/>
        <item x="1770"/>
        <item x="586"/>
        <item x="1523"/>
        <item x="2"/>
        <item x="49"/>
        <item x="1050"/>
        <item x="1653"/>
        <item x="1677"/>
        <item x="1665"/>
        <item x="1377"/>
        <item x="616"/>
        <item x="1538"/>
        <item x="1413"/>
        <item x="477"/>
        <item x="722"/>
        <item x="1110"/>
        <item x="1895"/>
        <item x="374"/>
        <item x="1080"/>
        <item x="263"/>
        <item x="775"/>
        <item x="1349"/>
        <item x="673"/>
        <item x="1844"/>
        <item x="1642"/>
        <item x="849"/>
        <item x="323"/>
        <item x="1611"/>
        <item x="1576"/>
        <item x="1722"/>
        <item x="1840"/>
        <item x="271"/>
        <item x="957"/>
        <item x="1833"/>
        <item x="1465"/>
        <item x="365"/>
        <item x="596"/>
        <item x="639"/>
        <item x="1608"/>
        <item x="1831"/>
        <item x="196"/>
        <item x="248"/>
        <item x="1532"/>
        <item x="1409"/>
        <item x="330"/>
        <item x="410"/>
        <item x="1372"/>
        <item x="1663"/>
        <item x="20"/>
        <item x="414"/>
        <item x="314"/>
        <item x="1163"/>
        <item x="1573"/>
        <item x="1188"/>
        <item x="950"/>
        <item x="1043"/>
        <item x="1542"/>
        <item x="472"/>
        <item x="1214"/>
        <item x="1755"/>
        <item x="119"/>
        <item x="1809"/>
        <item x="192"/>
        <item x="1839"/>
        <item x="1732"/>
        <item x="896"/>
        <item x="1859"/>
        <item x="808"/>
        <item x="756"/>
        <item x="1678"/>
        <item x="1519"/>
        <item x="193"/>
        <item x="1864"/>
        <item x="1658"/>
        <item x="1539"/>
        <item x="245"/>
        <item x="503"/>
        <item x="1522"/>
        <item x="1798"/>
        <item x="608"/>
        <item x="363"/>
        <item x="774"/>
        <item x="979"/>
        <item x="84"/>
        <item x="125"/>
        <item x="198"/>
        <item x="1373"/>
        <item x="322"/>
        <item x="703"/>
        <item x="137"/>
        <item x="1125"/>
        <item x="1567"/>
        <item x="1002"/>
        <item x="166"/>
        <item x="1211"/>
        <item x="1136"/>
        <item x="819"/>
        <item x="1045"/>
        <item x="1672"/>
        <item x="1898"/>
        <item x="1734"/>
        <item x="1586"/>
        <item x="101"/>
        <item x="1856"/>
        <item x="624"/>
        <item x="335"/>
        <item x="1219"/>
        <item x="456"/>
        <item x="1799"/>
        <item x="1264"/>
        <item x="331"/>
        <item x="431"/>
        <item x="1648"/>
        <item x="1779"/>
        <item x="1197"/>
        <item x="1816"/>
        <item x="1298"/>
        <item x="1007"/>
        <item x="730"/>
        <item x="682"/>
        <item x="1795"/>
        <item x="134"/>
        <item x="384"/>
        <item x="1517"/>
        <item x="558"/>
        <item x="667"/>
        <item x="541"/>
        <item x="1294"/>
        <item x="1582"/>
        <item x="803"/>
        <item x="1868"/>
        <item x="1085"/>
        <item x="289"/>
        <item x="1536"/>
        <item x="929"/>
        <item x="1412"/>
        <item x="242"/>
        <item x="150"/>
        <item x="1527"/>
        <item x="89"/>
        <item x="776"/>
        <item x="743"/>
        <item x="1886"/>
        <item x="1666"/>
        <item x="1273"/>
        <item x="1908"/>
        <item x="986"/>
        <item x="757"/>
        <item x="145"/>
        <item x="1271"/>
        <item x="1022"/>
        <item x="1918"/>
        <item x="268"/>
        <item x="1553"/>
        <item x="641"/>
        <item x="908"/>
        <item x="1116"/>
        <item x="359"/>
        <item x="658"/>
        <item x="151"/>
        <item x="297"/>
        <item x="1654"/>
        <item x="162"/>
        <item x="346"/>
        <item x="1024"/>
        <item x="1684"/>
        <item x="799"/>
        <item x="1187"/>
        <item x="116"/>
        <item x="651"/>
        <item x="547"/>
        <item x="1874"/>
        <item x="578"/>
        <item x="279"/>
        <item x="1324"/>
        <item x="748"/>
        <item x="1191"/>
        <item x="600"/>
        <item x="1607"/>
        <item x="841"/>
        <item x="1822"/>
        <item x="778"/>
        <item x="1131"/>
        <item x="858"/>
        <item x="1664"/>
        <item x="282"/>
        <item x="1006"/>
        <item x="129"/>
        <item x="1101"/>
        <item x="659"/>
        <item x="814"/>
        <item x="52"/>
        <item x="1206"/>
        <item x="1780"/>
        <item x="80"/>
        <item x="1618"/>
        <item x="826"/>
        <item x="1408"/>
        <item x="1233"/>
        <item x="1436"/>
        <item x="1361"/>
        <item x="303"/>
        <item x="654"/>
        <item x="1067"/>
        <item x="663"/>
        <item x="272"/>
        <item x="1152"/>
        <item x="154"/>
        <item x="311"/>
        <item x="1525"/>
        <item x="336"/>
        <item x="383"/>
        <item x="584"/>
        <item x="313"/>
        <item x="156"/>
        <item x="184"/>
        <item x="1556"/>
        <item x="1596"/>
        <item x="524"/>
        <item x="67"/>
        <item x="1915"/>
        <item x="1286"/>
        <item x="386"/>
        <item x="178"/>
        <item x="928"/>
        <item x="623"/>
        <item x="1353"/>
        <item x="1424"/>
        <item x="437"/>
        <item x="823"/>
        <item x="869"/>
        <item x="1584"/>
        <item x="481"/>
        <item x="1326"/>
        <item x="1251"/>
        <item x="168"/>
        <item x="1887"/>
        <item x="307"/>
        <item x="1778"/>
        <item x="1364"/>
        <item x="216"/>
        <item x="1854"/>
        <item x="1023"/>
        <item x="14"/>
        <item x="956"/>
        <item x="1070"/>
        <item x="1651"/>
        <item x="706"/>
        <item x="1458"/>
        <item x="921"/>
        <item x="719"/>
        <item x="1520"/>
        <item x="554"/>
        <item x="855"/>
        <item x="1245"/>
        <item x="1814"/>
        <item x="1456"/>
        <item x="1797"/>
        <item x="575"/>
        <item x="100"/>
        <item x="1914"/>
        <item x="1428"/>
        <item x="357"/>
        <item x="1350"/>
        <item x="718"/>
        <item x="1904"/>
        <item x="1285"/>
        <item x="1855"/>
        <item x="792"/>
        <item x="1498"/>
        <item x="333"/>
        <item x="1061"/>
        <item x="1828"/>
        <item x="1065"/>
        <item x="1315"/>
        <item x="1775"/>
        <item x="1320"/>
        <item x="1186"/>
        <item x="1098"/>
        <item x="1300"/>
        <item x="421"/>
        <item x="1600"/>
        <item x="1747"/>
        <item x="370"/>
        <item x="1153"/>
        <item x="879"/>
        <item x="796"/>
        <item x="1126"/>
        <item x="1357"/>
        <item x="1423"/>
        <item x="1877"/>
        <item x="1317"/>
        <item x="1661"/>
        <item x="1633"/>
        <item x="399"/>
        <item x="1595"/>
        <item x="726"/>
        <item x="1901"/>
        <item x="915"/>
        <item x="433"/>
        <item x="1454"/>
        <item x="1331"/>
        <item x="1250"/>
        <item x="784"/>
        <item x="749"/>
        <item x="1693"/>
        <item x="895"/>
        <item x="1481"/>
        <item x="406"/>
        <item x="171"/>
        <item x="1336"/>
        <item x="1646"/>
        <item x="113"/>
        <item x="177"/>
        <item x="860"/>
        <item x="1383"/>
        <item x="1276"/>
        <item x="288"/>
        <item x="159"/>
        <item x="1668"/>
        <item x="461"/>
        <item x="381"/>
        <item x="902"/>
        <item x="1907"/>
        <item x="1838"/>
        <item x="273"/>
        <item x="772"/>
        <item x="1386"/>
        <item x="912"/>
        <item x="1358"/>
        <item x="684"/>
        <item x="367"/>
        <item x="327"/>
        <item x="812"/>
        <item x="1375"/>
        <item x="1826"/>
        <item x="229"/>
        <item x="180"/>
        <item x="907"/>
        <item x="973"/>
        <item x="1052"/>
        <item x="1416"/>
        <item x="535"/>
        <item x="705"/>
        <item x="1171"/>
        <item x="1707"/>
        <item x="1105"/>
        <item x="1156"/>
        <item x="913"/>
        <item x="1921"/>
        <item x="1283"/>
        <item x="1806"/>
        <item x="900"/>
        <item x="1593"/>
        <item x="924"/>
        <item x="8"/>
        <item x="1899"/>
        <item x="1418"/>
        <item x="1896"/>
        <item x="1810"/>
        <item x="1736"/>
        <item x="253"/>
        <item x="347"/>
        <item x="1640"/>
        <item x="146"/>
        <item x="1461"/>
        <item x="1554"/>
        <item x="1330"/>
        <item x="866"/>
        <item x="223"/>
        <item x="1657"/>
        <item x="1419"/>
        <item x="206"/>
        <item x="1297"/>
        <item x="1547"/>
        <item x="1012"/>
        <item x="875"/>
        <item x="401"/>
        <item x="1564"/>
        <item x="1177"/>
        <item x="1343"/>
        <item x="1356"/>
        <item x="831"/>
        <item x="391"/>
        <item x="1279"/>
        <item x="959"/>
        <item x="1242"/>
        <item x="618"/>
        <item x="419"/>
        <item x="197"/>
        <item x="1323"/>
        <item x="1111"/>
        <item x="1903"/>
        <item x="1845"/>
        <item x="1034"/>
        <item x="1529"/>
        <item x="1791"/>
        <item x="1713"/>
        <item x="202"/>
        <item x="1783"/>
        <item x="1143"/>
        <item x="945"/>
        <item x="318"/>
        <item x="1502"/>
        <item x="1341"/>
        <item x="1083"/>
        <item x="620"/>
        <item x="628"/>
        <item x="1873"/>
        <item x="1589"/>
        <item x="556"/>
        <item x="941"/>
        <item x="31"/>
        <item x="1929"/>
        <item x="576"/>
        <item x="1580"/>
        <item x="428"/>
        <item x="638"/>
        <item x="1605"/>
        <item x="1603"/>
        <item x="676"/>
        <item x="1794"/>
        <item x="369"/>
        <item x="1220"/>
        <item x="1819"/>
        <item x="588"/>
        <item x="1282"/>
        <item x="1504"/>
        <item x="33"/>
        <item x="1767"/>
        <item x="834"/>
        <item x="969"/>
        <item x="88"/>
        <item x="754"/>
        <item x="1857"/>
        <item x="334"/>
        <item x="1850"/>
        <item x="432"/>
        <item x="983"/>
        <item x="521"/>
        <item x="1312"/>
        <item x="1168"/>
        <item x="1614"/>
        <item x="1784"/>
        <item x="1645"/>
        <item x="828"/>
        <item x="1905"/>
        <item x="1415"/>
        <item x="1753"/>
        <item x="1925"/>
        <item x="592"/>
        <item x="1109"/>
        <item x="312"/>
        <item x="475"/>
        <item x="1160"/>
        <item x="62"/>
        <item x="553"/>
        <item x="674"/>
        <item x="1162"/>
        <item x="568"/>
        <item x="1768"/>
        <item x="1081"/>
        <item x="1675"/>
        <item x="1469"/>
        <item x="760"/>
        <item x="1723"/>
        <item x="1089"/>
        <item x="1122"/>
        <item x="9"/>
        <item x="93"/>
        <item x="1574"/>
        <item x="1253"/>
        <item x="1056"/>
        <item x="1681"/>
        <item x="1560"/>
        <item x="864"/>
        <item x="972"/>
        <item x="1107"/>
        <item x="1812"/>
        <item x="10"/>
        <item x="1788"/>
        <item x="343"/>
        <item x="79"/>
        <item x="377"/>
        <item x="1441"/>
        <item x="876"/>
        <item x="1175"/>
        <item x="1885"/>
        <item x="376"/>
        <item x="1384"/>
        <item x="402"/>
        <item x="707"/>
        <item x="1403"/>
        <item x="1174"/>
        <item x="593"/>
        <item x="190"/>
        <item x="910"/>
        <item x="1440"/>
        <item x="1178"/>
        <item x="1411"/>
        <item x="1758"/>
        <item x="965"/>
        <item x="545"/>
        <item x="630"/>
        <item x="1622"/>
        <item x="1095"/>
        <item x="786"/>
        <item x="476"/>
        <item x="262"/>
        <item x="1492"/>
        <item x="1883"/>
        <item x="1656"/>
        <item x="678"/>
        <item x="848"/>
        <item x="91"/>
        <item x="1628"/>
        <item x="471"/>
        <item x="1571"/>
        <item x="1431"/>
        <item x="1348"/>
        <item x="862"/>
        <item x="1147"/>
        <item x="1803"/>
        <item x="1575"/>
        <item x="599"/>
        <item x="368"/>
        <item x="71"/>
        <item x="112"/>
        <item x="1818"/>
        <item x="393"/>
        <item x="1679"/>
        <item x="925"/>
        <item x="537"/>
        <item x="672"/>
        <item x="1121"/>
        <item x="1752"/>
        <item x="269"/>
        <item x="1308"/>
        <item x="1852"/>
        <item x="604"/>
        <item x="468"/>
        <item x="594"/>
        <item x="43"/>
        <item x="687"/>
        <item x="926"/>
        <item x="709"/>
        <item x="807"/>
        <item x="1617"/>
        <item x="1579"/>
        <item x="1882"/>
        <item x="892"/>
        <item x="660"/>
        <item x="612"/>
        <item x="13"/>
        <item x="737"/>
        <item x="1054"/>
        <item x="111"/>
        <item x="824"/>
        <item x="1124"/>
        <item x="1189"/>
        <item x="728"/>
        <item x="1604"/>
        <item x="1881"/>
        <item x="1862"/>
        <item x="1334"/>
        <item x="1104"/>
        <item x="655"/>
        <item x="1198"/>
        <item x="539"/>
        <item x="546"/>
        <item x="1145"/>
        <item x="1347"/>
        <item x="701"/>
        <item x="167"/>
        <item x="1365"/>
        <item x="1451"/>
        <item x="1641"/>
        <item x="1037"/>
        <item x="987"/>
        <item x="680"/>
        <item x="514"/>
        <item x="394"/>
        <item x="1289"/>
        <item x="797"/>
        <item x="1676"/>
        <item x="1609"/>
        <item x="995"/>
        <item x="1244"/>
        <item x="1894"/>
        <item x="48"/>
        <item x="1202"/>
        <item x="99"/>
        <item x="821"/>
        <item x="247"/>
        <item x="543"/>
        <item x="1135"/>
        <item x="1149"/>
        <item x="1541"/>
        <item x="1888"/>
        <item x="704"/>
        <item x="40"/>
        <item x="1047"/>
        <item x="636"/>
        <item x="500"/>
        <item x="1084"/>
        <item x="95"/>
        <item x="60"/>
        <item x="1340"/>
        <item x="880"/>
        <item x="1154"/>
        <item x="1069"/>
        <item x="859"/>
        <item x="899"/>
        <item x="811"/>
        <item x="104"/>
        <item x="407"/>
        <item x="1382"/>
        <item x="762"/>
        <item x="1514"/>
        <item x="1858"/>
        <item x="434"/>
        <item x="793"/>
        <item x="1623"/>
        <item x="1406"/>
        <item x="790"/>
        <item x="74"/>
        <item x="1912"/>
        <item x="1781"/>
        <item x="92"/>
        <item x="201"/>
        <item x="1039"/>
        <item x="1776"/>
        <item x="1117"/>
        <item x="1531"/>
        <item x="148"/>
        <item x="1057"/>
        <item x="1376"/>
        <item x="356"/>
        <item x="791"/>
        <item x="1170"/>
        <item x="1625"/>
        <item x="946"/>
        <item x="1212"/>
        <item x="1319"/>
        <item x="1766"/>
        <item x="851"/>
        <item x="155"/>
        <item x="352"/>
        <item x="559"/>
        <item x="1476"/>
        <item x="932"/>
        <item x="1091"/>
        <item x="1369"/>
        <item x="1335"/>
        <item x="210"/>
        <item x="448"/>
        <item x="845"/>
        <item x="1782"/>
        <item x="1577"/>
        <item x="1176"/>
        <item x="889"/>
        <item x="1021"/>
        <item x="1263"/>
        <item x="1268"/>
        <item x="1869"/>
        <item x="1865"/>
        <item x="619"/>
        <item x="1316"/>
        <item x="1655"/>
        <item x="1134"/>
        <item x="405"/>
        <item x="413"/>
        <item x="868"/>
        <item x="1362"/>
        <item x="301"/>
        <item x="1076"/>
        <item x="1683"/>
        <item x="664"/>
        <item x="1113"/>
        <item x="1649"/>
        <item x="882"/>
        <item x="1158"/>
        <item x="1046"/>
        <item x="1118"/>
        <item x="906"/>
        <item x="1777"/>
        <item x="1146"/>
        <item x="1155"/>
        <item x="108"/>
        <item x="1815"/>
        <item x="835"/>
        <item x="1889"/>
        <item x="1430"/>
        <item x="351"/>
        <item x="922"/>
        <item x="1265"/>
        <item x="169"/>
        <item x="382"/>
        <item x="1142"/>
        <item x="884"/>
        <item x="836"/>
        <item x="1302"/>
        <item x="739"/>
        <item x="901"/>
        <item x="544"/>
        <item x="81"/>
        <item x="1624"/>
        <item x="645"/>
        <item x="1890"/>
        <item x="1402"/>
        <item x="203"/>
        <item x="1830"/>
        <item x="1417"/>
        <item x="1051"/>
        <item x="1284"/>
        <item x="1568"/>
        <item x="1871"/>
        <item x="668"/>
        <item x="679"/>
        <item x="429"/>
        <item x="430"/>
        <item x="86"/>
        <item x="766"/>
        <item x="637"/>
        <item x="832"/>
        <item x="415"/>
        <item x="989"/>
        <item x="446"/>
        <item x="1100"/>
        <item x="1133"/>
        <item x="1769"/>
        <item x="1891"/>
        <item x="274"/>
        <item x="606"/>
        <item x="1395"/>
        <item x="1667"/>
        <item x="1148"/>
        <item x="1079"/>
        <item x="710"/>
        <item x="1591"/>
        <item x="1026"/>
        <item x="1180"/>
        <item x="1115"/>
        <item x="3"/>
        <item x="622"/>
        <item x="890"/>
        <item x="1394"/>
        <item x="1670"/>
        <item x="773"/>
        <item x="1367"/>
        <item x="34"/>
        <item x="614"/>
        <item x="1528"/>
        <item x="1342"/>
        <item x="1123"/>
        <item x="918"/>
        <item x="1132"/>
        <item x="611"/>
        <item x="441"/>
        <item x="1141"/>
        <item x="1621"/>
        <item x="390"/>
        <item x="55"/>
        <item x="937"/>
        <item x="1592"/>
        <item x="1526"/>
        <item x="1346"/>
        <item x="583"/>
        <item x="1429"/>
        <item x="76"/>
        <item x="1557"/>
        <item x="68"/>
        <item x="1093"/>
        <item x="1086"/>
        <item x="1790"/>
        <item x="1697"/>
        <item x="373"/>
        <item x="380"/>
        <item x="69"/>
        <item x="829"/>
        <item x="418"/>
        <item x="170"/>
        <item x="1059"/>
        <item x="1472"/>
        <item x="1129"/>
        <item x="670"/>
        <item x="695"/>
        <item x="1150"/>
        <item x="644"/>
        <item x="1427"/>
        <item x="5"/>
        <item x="1834"/>
        <item x="227"/>
        <item x="485"/>
        <item x="733"/>
        <item x="980"/>
        <item x="1550"/>
        <item x="1169"/>
        <item x="426"/>
        <item x="153"/>
        <item x="436"/>
        <item x="24"/>
        <item x="350"/>
        <item x="1453"/>
        <item x="1823"/>
        <item x="1192"/>
        <item x="1144"/>
        <item x="53"/>
        <item x="152"/>
        <item x="379"/>
        <item x="1204"/>
        <item x="1442"/>
        <item x="286"/>
        <item x="1612"/>
        <item x="1400"/>
        <item x="427"/>
        <item x="208"/>
        <item x="751"/>
        <item x="610"/>
        <item x="458"/>
        <item x="1636"/>
        <item x="1127"/>
        <item x="1167"/>
        <item x="1305"/>
        <item x="179"/>
        <item x="1420"/>
        <item x="878"/>
        <item x="898"/>
        <item x="1388"/>
        <item x="643"/>
        <item x="627"/>
        <item x="940"/>
        <item x="893"/>
        <item x="916"/>
        <item x="1063"/>
        <item x="1443"/>
        <item x="863"/>
        <item x="1644"/>
        <item x="1632"/>
        <item x="1137"/>
        <item x="931"/>
        <item x="935"/>
        <item x="683"/>
        <item x="1551"/>
        <item x="58"/>
        <item x="1387"/>
        <item x="1307"/>
        <item x="1410"/>
        <item x="689"/>
        <item x="1530"/>
        <item x="1613"/>
        <item x="388"/>
        <item x="1422"/>
        <item x="1225"/>
        <item x="1926"/>
        <item x="699"/>
        <item x="57"/>
        <item x="207"/>
        <item x="141"/>
        <item x="885"/>
        <item x="438"/>
        <item x="1597"/>
        <item x="909"/>
        <item x="1878"/>
        <item x="1354"/>
        <item x="820"/>
        <item x="158"/>
        <item x="1448"/>
        <item x="1139"/>
        <item x="1680"/>
        <item x="649"/>
        <item x="1173"/>
        <item x="375"/>
        <item x="1829"/>
        <item x="1616"/>
        <item x="1166"/>
        <item x="693"/>
        <item x="1689"/>
        <item x="688"/>
        <item x="325"/>
        <item x="218"/>
        <item x="403"/>
        <item x="176"/>
        <item x="1036"/>
        <item x="109"/>
        <item x="444"/>
        <item x="1393"/>
        <item x="1438"/>
        <item x="185"/>
        <item x="411"/>
        <item x="412"/>
        <item x="1660"/>
        <item x="1659"/>
        <item x="1058"/>
        <item x="930"/>
        <item x="425"/>
        <item x="1480"/>
        <item x="696"/>
        <item x="522"/>
        <item x="877"/>
        <item x="1205"/>
        <item x="881"/>
        <item x="304"/>
        <item x="646"/>
        <item x="1313"/>
        <item x="144"/>
        <item x="1200"/>
        <item x="1073"/>
        <item x="1686"/>
        <item x="1366"/>
        <item x="1433"/>
        <item x="1631"/>
        <item x="1849"/>
        <item x="1194"/>
        <item x="1390"/>
        <item x="1647"/>
        <item x="175"/>
        <item x="1435"/>
        <item x="923"/>
        <item x="140"/>
        <item x="1190"/>
        <item x="1652"/>
        <item x="963"/>
        <item x="853"/>
        <item x="1601"/>
        <item x="852"/>
        <item x="1392"/>
        <item x="1842"/>
        <item x="948"/>
        <item x="1040"/>
        <item x="1421"/>
        <item x="214"/>
        <item x="1482"/>
        <item x="677"/>
        <item x="1157"/>
        <item x="1161"/>
        <item x="400"/>
        <item x="903"/>
        <item x="1909"/>
        <item x="1669"/>
        <item x="927"/>
        <item x="181"/>
        <item x="1619"/>
        <item x="551"/>
        <item x="1897"/>
        <item x="1360"/>
        <item x="172"/>
        <item x="135"/>
        <item x="609"/>
        <item x="933"/>
        <item x="867"/>
        <item x="675"/>
        <item x="1610"/>
        <item x="629"/>
        <item x="4"/>
        <item x="870"/>
        <item x="887"/>
        <item x="445"/>
        <item x="967"/>
        <item x="389"/>
        <item x="947"/>
        <item x="142"/>
        <item x="856"/>
        <item x="1920"/>
        <item x="1355"/>
        <item x="1696"/>
        <item x="1846"/>
        <item x="1694"/>
        <item x="251"/>
        <item x="200"/>
        <item x="1389"/>
        <item x="954"/>
        <item x="1151"/>
        <item x="1385"/>
        <item x="1927"/>
        <item x="182"/>
        <item x="1112"/>
        <item x="440"/>
        <item x="1396"/>
        <item x="96"/>
        <item x="1199"/>
        <item x="422"/>
        <item x="1138"/>
        <item x="1928"/>
        <item x="698"/>
        <item x="1447"/>
        <item x="894"/>
        <item x="1870"/>
        <item x="621"/>
        <item x="1183"/>
        <item x="1643"/>
        <item x="164"/>
        <item x="1626"/>
        <item x="173"/>
        <item x="131"/>
        <item x="1119"/>
        <item x="35"/>
        <item x="685"/>
        <item x="681"/>
        <item x="1434"/>
        <item x="1893"/>
        <item x="943"/>
        <item x="787"/>
        <item x="938"/>
        <item x="1687"/>
        <item x="1837"/>
        <item x="936"/>
        <item x="1761"/>
        <item x="1164"/>
        <item x="1650"/>
        <item x="692"/>
        <item x="1902"/>
        <item x="1437"/>
        <item x="1875"/>
        <item x="1203"/>
        <item x="1820"/>
        <item x="12"/>
        <item x="653"/>
        <item x="1459"/>
        <item x="914"/>
        <item x="694"/>
        <item x="1120"/>
        <item x="442"/>
        <item x="633"/>
        <item x="212"/>
        <item x="939"/>
        <item x="1638"/>
        <item x="1892"/>
        <item x="1860"/>
        <item x="1673"/>
        <item x="465"/>
        <item x="1201"/>
        <item x="771"/>
        <item x="1923"/>
        <item x="449"/>
        <item x="697"/>
        <item x="1692"/>
        <item x="840"/>
        <item x="1391"/>
        <item x="1720"/>
        <item x="143"/>
        <item x="988"/>
        <item x="1401"/>
        <item x="1196"/>
        <item x="21"/>
        <item x="788"/>
        <item x="1691"/>
        <item x="1620"/>
        <item x="944"/>
        <item x="238"/>
        <item x="635"/>
        <item x="1662"/>
        <item x="378"/>
        <item x="511"/>
        <item x="1028"/>
        <item x="1900"/>
        <item x="888"/>
        <item x="1919"/>
        <item x="991"/>
        <item x="1344"/>
        <item x="1159"/>
        <item x="1140"/>
        <item x="724"/>
        <item x="1292"/>
        <item x="1179"/>
        <item x="228"/>
        <item x="1444"/>
        <item x="873"/>
        <item x="117"/>
        <item x="1262"/>
        <item x="1439"/>
        <item x="372"/>
        <item x="1569"/>
        <item x="615"/>
        <item x="447"/>
        <item x="217"/>
        <item x="669"/>
        <item x="416"/>
        <item x="1363"/>
        <item x="174"/>
        <item x="1910"/>
        <item x="515"/>
        <item x="409"/>
        <item x="1583"/>
        <item x="951"/>
        <item x="209"/>
        <item x="404"/>
        <item x="843"/>
        <item x="1906"/>
        <item x="1763"/>
        <item x="1463"/>
        <item x="44"/>
        <item x="1426"/>
        <item x="211"/>
        <item x="16"/>
        <item x="395"/>
        <item x="1378"/>
        <item x="1128"/>
        <item x="949"/>
        <item x="661"/>
        <item x="1635"/>
        <item x="124"/>
        <item x="920"/>
        <item x="371"/>
        <item x="51"/>
        <item x="435"/>
        <item x="686"/>
        <item x="199"/>
        <item x="1193"/>
        <item x="691"/>
        <item x="219"/>
        <item x="136"/>
        <item x="165"/>
        <item x="1446"/>
        <item x="934"/>
        <item x="1916"/>
        <item x="1182"/>
        <item x="1690"/>
        <item x="147"/>
        <item x="439"/>
        <item x="540"/>
        <item x="1432"/>
        <item x="205"/>
        <item x="204"/>
        <item x="1674"/>
        <item x="1671"/>
        <item x="213"/>
        <item x="942"/>
        <item x="398"/>
        <item x="1172"/>
        <item x="765"/>
        <item x="1685"/>
        <item x="215"/>
        <item x="1345"/>
        <item x="7"/>
        <item x="133"/>
        <item x="1740"/>
        <item x="285"/>
        <item x="220"/>
        <item x="1184"/>
        <item x="70"/>
        <item x="191"/>
        <item x="280"/>
        <item x="1512"/>
        <item x="1832"/>
        <item x="128"/>
        <item x="85"/>
        <item x="344"/>
        <item x="1254"/>
        <item x="139"/>
        <item x="850"/>
        <item x="741"/>
        <item x="221"/>
        <item x="83"/>
        <item x="1695"/>
        <item x="187"/>
        <item x="1017"/>
        <item x="1404"/>
        <item x="1688"/>
        <item x="488"/>
        <item x="984"/>
        <item x="1230"/>
        <item x="163"/>
        <item x="186"/>
        <item x="54"/>
        <item t="default"/>
      </items>
    </pivotField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a de Valor Empenhado" fld="3" baseField="0" baseItem="0" numFmtId="164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DB28F5-DBD8-43B3-8DBD-E1D8EA60DBCD}" name="Tabela1" displayName="Tabela1" ref="A1:G2481" totalsRowShown="0">
  <autoFilter ref="A1:G2481" xr:uid="{C0EDF1B9-E809-4CD4-A5F8-17F701415AAC}"/>
  <tableColumns count="7">
    <tableColumn id="1" xr3:uid="{1A396826-D92A-417E-9B6C-2A389D6A440A}" name="Mês Ano" dataDxfId="12"/>
    <tableColumn id="2" xr3:uid="{7A7B3863-40C9-4B1A-BC67-512AE167403D}" name="Área de atuação (Função)"/>
    <tableColumn id="3" xr3:uid="{2A1D6191-EAC1-4712-8FA8-8017A529FDE5}" name="Subfunção"/>
    <tableColumn id="4" xr3:uid="{C3828A6B-0B0A-496A-B8E0-6D146F23BE2B}" name="Valor Empenhado" dataDxfId="11"/>
    <tableColumn id="5" xr3:uid="{A7A8DF39-C10B-431E-A5CC-B65F38DFB70A}" name="Valor Liquidado" dataDxfId="10"/>
    <tableColumn id="6" xr3:uid="{03AF7044-2116-4630-A996-CAB28643E117}" name="Valor Pago" dataDxfId="9"/>
    <tableColumn id="7" xr3:uid="{E45A9CB7-25FB-4AD1-992D-DCCFFC19C765}" name="Valor Restos a Pagar Pagos" dataDxfId="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481"/>
  <sheetViews>
    <sheetView topLeftCell="A2" workbookViewId="0">
      <selection activeCell="C18" sqref="C18"/>
    </sheetView>
  </sheetViews>
  <sheetFormatPr defaultRowHeight="15" x14ac:dyDescent="0.25"/>
  <cols>
    <col min="1" max="1" width="10.85546875" customWidth="1"/>
    <col min="2" max="2" width="25.42578125" customWidth="1"/>
    <col min="3" max="3" width="51.28515625" bestFit="1" customWidth="1"/>
    <col min="4" max="4" width="18.85546875" customWidth="1"/>
    <col min="5" max="6" width="17.5703125" bestFit="1" customWidth="1"/>
    <col min="7" max="7" width="26.42578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44927</v>
      </c>
      <c r="B2" t="s">
        <v>7</v>
      </c>
      <c r="C2" t="s">
        <v>8</v>
      </c>
      <c r="D2">
        <v>0</v>
      </c>
      <c r="E2">
        <v>0</v>
      </c>
      <c r="F2">
        <v>0</v>
      </c>
      <c r="G2" s="2">
        <v>187000</v>
      </c>
    </row>
    <row r="3" spans="1:7" x14ac:dyDescent="0.25">
      <c r="A3" s="1">
        <v>44927</v>
      </c>
      <c r="B3" t="s">
        <v>9</v>
      </c>
      <c r="C3" t="s">
        <v>10</v>
      </c>
      <c r="D3">
        <v>0</v>
      </c>
      <c r="E3">
        <v>0</v>
      </c>
      <c r="F3">
        <v>0</v>
      </c>
      <c r="G3" s="2">
        <v>486650</v>
      </c>
    </row>
    <row r="4" spans="1:7" x14ac:dyDescent="0.25">
      <c r="A4" s="1">
        <v>44927</v>
      </c>
      <c r="B4" t="s">
        <v>11</v>
      </c>
      <c r="C4" t="s">
        <v>12</v>
      </c>
      <c r="D4" s="2">
        <v>50000</v>
      </c>
      <c r="E4" s="2">
        <v>23535.599999999999</v>
      </c>
      <c r="F4">
        <v>0</v>
      </c>
      <c r="G4" s="2">
        <v>28906.240000000002</v>
      </c>
    </row>
    <row r="5" spans="1:7" x14ac:dyDescent="0.25">
      <c r="A5" s="1">
        <v>44927</v>
      </c>
      <c r="B5" t="s">
        <v>13</v>
      </c>
      <c r="C5" t="s">
        <v>14</v>
      </c>
      <c r="D5">
        <v>0</v>
      </c>
      <c r="E5">
        <v>0</v>
      </c>
      <c r="F5">
        <v>0</v>
      </c>
      <c r="G5" s="2">
        <v>400000</v>
      </c>
    </row>
    <row r="6" spans="1:7" x14ac:dyDescent="0.25">
      <c r="A6" s="1">
        <v>44927</v>
      </c>
      <c r="B6" t="s">
        <v>15</v>
      </c>
      <c r="C6" t="s">
        <v>16</v>
      </c>
      <c r="D6">
        <v>0</v>
      </c>
      <c r="E6">
        <v>0</v>
      </c>
      <c r="F6">
        <v>0</v>
      </c>
      <c r="G6" s="2">
        <v>91585.07</v>
      </c>
    </row>
    <row r="7" spans="1:7" x14ac:dyDescent="0.25">
      <c r="A7" s="1">
        <v>44927</v>
      </c>
      <c r="B7" t="s">
        <v>17</v>
      </c>
      <c r="C7" t="s">
        <v>18</v>
      </c>
      <c r="D7">
        <v>0</v>
      </c>
      <c r="E7">
        <v>0</v>
      </c>
      <c r="F7">
        <v>0</v>
      </c>
      <c r="G7">
        <v>0</v>
      </c>
    </row>
    <row r="8" spans="1:7" x14ac:dyDescent="0.25">
      <c r="A8" s="1">
        <v>44927</v>
      </c>
      <c r="B8" t="s">
        <v>15</v>
      </c>
      <c r="C8" t="s">
        <v>19</v>
      </c>
      <c r="D8">
        <v>0</v>
      </c>
      <c r="E8">
        <v>0</v>
      </c>
      <c r="F8">
        <v>0</v>
      </c>
      <c r="G8" s="2">
        <v>9185.89</v>
      </c>
    </row>
    <row r="9" spans="1:7" x14ac:dyDescent="0.25">
      <c r="A9" s="1">
        <v>44927</v>
      </c>
      <c r="B9" t="s">
        <v>13</v>
      </c>
      <c r="C9" t="s">
        <v>20</v>
      </c>
      <c r="D9">
        <v>0</v>
      </c>
      <c r="E9">
        <v>0</v>
      </c>
      <c r="F9">
        <v>0</v>
      </c>
      <c r="G9" s="2">
        <v>3000</v>
      </c>
    </row>
    <row r="10" spans="1:7" x14ac:dyDescent="0.25">
      <c r="A10" s="1">
        <v>44927</v>
      </c>
      <c r="B10" t="s">
        <v>21</v>
      </c>
      <c r="C10" t="s">
        <v>22</v>
      </c>
      <c r="D10" s="2">
        <v>2000000</v>
      </c>
      <c r="E10" s="2">
        <v>817099.64</v>
      </c>
      <c r="F10" s="2">
        <v>817099.64</v>
      </c>
      <c r="G10" s="2">
        <v>4422.78</v>
      </c>
    </row>
    <row r="11" spans="1:7" x14ac:dyDescent="0.25">
      <c r="A11" s="1">
        <v>44927</v>
      </c>
      <c r="B11" t="s">
        <v>23</v>
      </c>
      <c r="C11" t="s">
        <v>24</v>
      </c>
      <c r="D11">
        <v>0</v>
      </c>
      <c r="E11">
        <v>0</v>
      </c>
      <c r="F11">
        <v>0</v>
      </c>
      <c r="G11" s="2">
        <v>95417.06</v>
      </c>
    </row>
    <row r="12" spans="1:7" x14ac:dyDescent="0.25">
      <c r="A12" s="1">
        <v>44927</v>
      </c>
      <c r="B12" t="s">
        <v>15</v>
      </c>
      <c r="C12" t="s">
        <v>22</v>
      </c>
      <c r="D12" s="2">
        <v>90898794</v>
      </c>
      <c r="E12" s="2">
        <v>4098500</v>
      </c>
      <c r="F12" s="2">
        <v>3912116.68</v>
      </c>
      <c r="G12" s="2">
        <v>5893.6</v>
      </c>
    </row>
    <row r="13" spans="1:7" x14ac:dyDescent="0.25">
      <c r="A13" s="1">
        <v>44927</v>
      </c>
      <c r="B13" t="s">
        <v>17</v>
      </c>
      <c r="C13" t="s">
        <v>25</v>
      </c>
      <c r="D13">
        <v>0</v>
      </c>
      <c r="E13">
        <v>0</v>
      </c>
      <c r="F13">
        <v>0</v>
      </c>
      <c r="G13" s="2">
        <v>12940</v>
      </c>
    </row>
    <row r="14" spans="1:7" x14ac:dyDescent="0.25">
      <c r="A14" s="1">
        <v>44927</v>
      </c>
      <c r="B14" t="s">
        <v>26</v>
      </c>
      <c r="C14" t="s">
        <v>24</v>
      </c>
      <c r="D14">
        <v>0</v>
      </c>
      <c r="E14">
        <v>0</v>
      </c>
      <c r="F14">
        <v>0</v>
      </c>
      <c r="G14" s="2">
        <v>2655</v>
      </c>
    </row>
    <row r="15" spans="1:7" x14ac:dyDescent="0.25">
      <c r="A15" s="1">
        <v>44927</v>
      </c>
      <c r="B15" t="s">
        <v>27</v>
      </c>
      <c r="C15" t="s">
        <v>22</v>
      </c>
      <c r="D15" s="2">
        <v>417222923</v>
      </c>
      <c r="E15" s="2">
        <v>24762311.460000001</v>
      </c>
      <c r="F15" s="2">
        <v>24762311.460000001</v>
      </c>
      <c r="G15">
        <v>0</v>
      </c>
    </row>
    <row r="16" spans="1:7" x14ac:dyDescent="0.25">
      <c r="A16" s="1">
        <v>44927</v>
      </c>
      <c r="B16" t="s">
        <v>21</v>
      </c>
      <c r="C16" t="s">
        <v>14</v>
      </c>
      <c r="D16">
        <v>0</v>
      </c>
      <c r="E16">
        <v>0</v>
      </c>
      <c r="F16">
        <v>0</v>
      </c>
      <c r="G16" s="2">
        <v>12287.17</v>
      </c>
    </row>
    <row r="17" spans="1:7" x14ac:dyDescent="0.25">
      <c r="A17" s="1">
        <v>44927</v>
      </c>
      <c r="B17" t="s">
        <v>28</v>
      </c>
      <c r="C17" t="s">
        <v>29</v>
      </c>
      <c r="D17" s="2">
        <v>127081203.45</v>
      </c>
      <c r="E17" s="2">
        <v>126493786.48999999</v>
      </c>
      <c r="F17" s="2">
        <v>-19551.07</v>
      </c>
      <c r="G17" s="2">
        <v>279350.36</v>
      </c>
    </row>
    <row r="18" spans="1:7" x14ac:dyDescent="0.25">
      <c r="A18" s="1">
        <v>44927</v>
      </c>
      <c r="B18" t="s">
        <v>15</v>
      </c>
      <c r="C18" t="s">
        <v>30</v>
      </c>
      <c r="D18" s="2">
        <v>1052946.31</v>
      </c>
      <c r="E18">
        <v>0</v>
      </c>
      <c r="F18">
        <v>0</v>
      </c>
      <c r="G18">
        <v>566.45000000000005</v>
      </c>
    </row>
    <row r="19" spans="1:7" x14ac:dyDescent="0.25">
      <c r="A19" s="1">
        <v>44927</v>
      </c>
      <c r="B19" t="s">
        <v>31</v>
      </c>
      <c r="C19" t="s">
        <v>32</v>
      </c>
      <c r="D19" s="2">
        <v>11615590000</v>
      </c>
      <c r="E19" s="2">
        <v>11615590000</v>
      </c>
      <c r="F19" s="2">
        <v>11615590000</v>
      </c>
      <c r="G19">
        <v>0</v>
      </c>
    </row>
    <row r="20" spans="1:7" x14ac:dyDescent="0.25">
      <c r="A20" s="1">
        <v>44927</v>
      </c>
      <c r="B20" t="s">
        <v>33</v>
      </c>
      <c r="C20" t="s">
        <v>29</v>
      </c>
      <c r="D20">
        <v>0</v>
      </c>
      <c r="E20">
        <v>0</v>
      </c>
      <c r="F20">
        <v>0</v>
      </c>
      <c r="G20">
        <v>0</v>
      </c>
    </row>
    <row r="21" spans="1:7" x14ac:dyDescent="0.25">
      <c r="A21" s="1">
        <v>44927</v>
      </c>
      <c r="B21" t="s">
        <v>33</v>
      </c>
      <c r="C21" t="s">
        <v>34</v>
      </c>
      <c r="D21" s="2">
        <v>10667058</v>
      </c>
      <c r="E21">
        <v>0</v>
      </c>
      <c r="F21">
        <v>0</v>
      </c>
      <c r="G21">
        <v>0</v>
      </c>
    </row>
    <row r="22" spans="1:7" x14ac:dyDescent="0.25">
      <c r="A22" s="1">
        <v>44927</v>
      </c>
      <c r="B22" t="s">
        <v>33</v>
      </c>
      <c r="C22" t="s">
        <v>35</v>
      </c>
      <c r="D22">
        <v>0</v>
      </c>
      <c r="E22">
        <v>0</v>
      </c>
      <c r="F22">
        <v>0</v>
      </c>
      <c r="G22">
        <v>80</v>
      </c>
    </row>
    <row r="23" spans="1:7" x14ac:dyDescent="0.25">
      <c r="A23" s="1">
        <v>44927</v>
      </c>
      <c r="B23" t="s">
        <v>36</v>
      </c>
      <c r="C23" t="s">
        <v>14</v>
      </c>
      <c r="D23">
        <v>0</v>
      </c>
      <c r="E23">
        <v>0</v>
      </c>
      <c r="F23">
        <v>0</v>
      </c>
      <c r="G23" s="2">
        <v>3169998</v>
      </c>
    </row>
    <row r="24" spans="1:7" x14ac:dyDescent="0.25">
      <c r="A24" s="1">
        <v>44927</v>
      </c>
      <c r="B24" t="s">
        <v>7</v>
      </c>
      <c r="C24" t="s">
        <v>34</v>
      </c>
      <c r="D24">
        <v>0</v>
      </c>
      <c r="E24">
        <v>0</v>
      </c>
      <c r="F24">
        <v>0</v>
      </c>
      <c r="G24" s="2">
        <v>36700000</v>
      </c>
    </row>
    <row r="25" spans="1:7" x14ac:dyDescent="0.25">
      <c r="A25" s="1">
        <v>44927</v>
      </c>
      <c r="B25" t="s">
        <v>37</v>
      </c>
      <c r="C25" t="s">
        <v>38</v>
      </c>
      <c r="D25">
        <v>0</v>
      </c>
      <c r="E25">
        <v>0</v>
      </c>
      <c r="F25">
        <v>0</v>
      </c>
      <c r="G25">
        <v>0</v>
      </c>
    </row>
    <row r="26" spans="1:7" x14ac:dyDescent="0.25">
      <c r="A26" s="1">
        <v>44927</v>
      </c>
      <c r="B26" t="s">
        <v>21</v>
      </c>
      <c r="C26" t="s">
        <v>39</v>
      </c>
      <c r="D26">
        <v>0</v>
      </c>
      <c r="E26">
        <v>0</v>
      </c>
      <c r="F26">
        <v>0</v>
      </c>
      <c r="G26" s="2">
        <v>72456.86</v>
      </c>
    </row>
    <row r="27" spans="1:7" x14ac:dyDescent="0.25">
      <c r="A27" s="1">
        <v>44927</v>
      </c>
      <c r="B27" t="s">
        <v>17</v>
      </c>
      <c r="C27" t="s">
        <v>22</v>
      </c>
      <c r="D27" s="2">
        <v>20000000</v>
      </c>
      <c r="E27" s="2">
        <v>14810769.699999999</v>
      </c>
      <c r="F27" s="2">
        <v>14810769.699999999</v>
      </c>
      <c r="G27">
        <v>0</v>
      </c>
    </row>
    <row r="28" spans="1:7" x14ac:dyDescent="0.25">
      <c r="A28" s="1">
        <v>44927</v>
      </c>
      <c r="B28" t="s">
        <v>33</v>
      </c>
      <c r="C28" t="s">
        <v>40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 s="1">
        <v>44927</v>
      </c>
      <c r="B29" t="s">
        <v>23</v>
      </c>
      <c r="C29" t="s">
        <v>16</v>
      </c>
      <c r="D29" s="2">
        <v>21200000</v>
      </c>
      <c r="E29">
        <v>0</v>
      </c>
      <c r="F29">
        <v>0</v>
      </c>
      <c r="G29" s="2">
        <v>23692096.859999999</v>
      </c>
    </row>
    <row r="30" spans="1:7" x14ac:dyDescent="0.25">
      <c r="A30" s="1">
        <v>44927</v>
      </c>
      <c r="B30" t="s">
        <v>41</v>
      </c>
      <c r="C30" t="s">
        <v>42</v>
      </c>
      <c r="D30">
        <v>0</v>
      </c>
      <c r="E30">
        <v>0</v>
      </c>
      <c r="F30">
        <v>0</v>
      </c>
      <c r="G30" s="2">
        <v>2039.54</v>
      </c>
    </row>
    <row r="31" spans="1:7" x14ac:dyDescent="0.25">
      <c r="A31" s="1">
        <v>44927</v>
      </c>
      <c r="B31" t="s">
        <v>43</v>
      </c>
      <c r="C31" t="s">
        <v>44</v>
      </c>
      <c r="D31">
        <v>0</v>
      </c>
      <c r="E31">
        <v>0</v>
      </c>
      <c r="F31">
        <v>0</v>
      </c>
      <c r="G31" s="2">
        <v>59023.72</v>
      </c>
    </row>
    <row r="32" spans="1:7" x14ac:dyDescent="0.25">
      <c r="A32" s="1">
        <v>44927</v>
      </c>
      <c r="B32" t="s">
        <v>45</v>
      </c>
      <c r="C32" t="s">
        <v>46</v>
      </c>
      <c r="D32">
        <v>0</v>
      </c>
      <c r="E32">
        <v>0</v>
      </c>
      <c r="F32">
        <v>0</v>
      </c>
      <c r="G32" s="2">
        <v>40616</v>
      </c>
    </row>
    <row r="33" spans="1:7" x14ac:dyDescent="0.25">
      <c r="A33" s="1">
        <v>44927</v>
      </c>
      <c r="B33" t="s">
        <v>47</v>
      </c>
      <c r="C33" t="s">
        <v>34</v>
      </c>
      <c r="D33">
        <v>0</v>
      </c>
      <c r="E33">
        <v>0</v>
      </c>
      <c r="F33">
        <v>0</v>
      </c>
      <c r="G33" s="2">
        <v>26170541</v>
      </c>
    </row>
    <row r="34" spans="1:7" x14ac:dyDescent="0.25">
      <c r="A34" s="1">
        <v>44927</v>
      </c>
      <c r="B34" t="s">
        <v>45</v>
      </c>
      <c r="C34" t="s">
        <v>10</v>
      </c>
      <c r="D34">
        <v>0</v>
      </c>
      <c r="E34">
        <v>0</v>
      </c>
      <c r="F34">
        <v>0</v>
      </c>
      <c r="G34">
        <v>779.59</v>
      </c>
    </row>
    <row r="35" spans="1:7" x14ac:dyDescent="0.25">
      <c r="A35" s="1">
        <v>44927</v>
      </c>
      <c r="B35" t="s">
        <v>43</v>
      </c>
      <c r="C35" t="s">
        <v>12</v>
      </c>
      <c r="D35" s="2">
        <v>4206.08</v>
      </c>
      <c r="E35" s="2">
        <v>2216.08</v>
      </c>
      <c r="F35">
        <v>0</v>
      </c>
      <c r="G35" s="2">
        <v>58853.96</v>
      </c>
    </row>
    <row r="36" spans="1:7" x14ac:dyDescent="0.25">
      <c r="A36" s="1">
        <v>44927</v>
      </c>
      <c r="B36" t="s">
        <v>23</v>
      </c>
      <c r="C36" t="s">
        <v>22</v>
      </c>
      <c r="D36" s="2">
        <v>986200000</v>
      </c>
      <c r="E36" s="2">
        <v>77715528.450000003</v>
      </c>
      <c r="F36" s="2">
        <v>77715528.450000003</v>
      </c>
      <c r="G36" s="2">
        <v>9803.7000000000007</v>
      </c>
    </row>
    <row r="37" spans="1:7" x14ac:dyDescent="0.25">
      <c r="A37" s="1">
        <v>44927</v>
      </c>
      <c r="B37" t="s">
        <v>26</v>
      </c>
      <c r="C37" t="s">
        <v>48</v>
      </c>
      <c r="D37">
        <v>0</v>
      </c>
      <c r="E37">
        <v>0</v>
      </c>
      <c r="F37">
        <v>0</v>
      </c>
      <c r="G37" s="2">
        <v>138393.62</v>
      </c>
    </row>
    <row r="38" spans="1:7" x14ac:dyDescent="0.25">
      <c r="A38" s="1">
        <v>44927</v>
      </c>
      <c r="B38" t="s">
        <v>37</v>
      </c>
      <c r="C38" t="s">
        <v>49</v>
      </c>
      <c r="D38">
        <v>0</v>
      </c>
      <c r="E38">
        <v>0</v>
      </c>
      <c r="F38">
        <v>0</v>
      </c>
      <c r="G38" s="2">
        <v>4954942</v>
      </c>
    </row>
    <row r="39" spans="1:7" x14ac:dyDescent="0.25">
      <c r="A39" s="1">
        <v>44927</v>
      </c>
      <c r="B39" t="s">
        <v>47</v>
      </c>
      <c r="C39" t="s">
        <v>24</v>
      </c>
      <c r="D39">
        <v>0</v>
      </c>
      <c r="E39">
        <v>0</v>
      </c>
      <c r="F39">
        <v>0</v>
      </c>
      <c r="G39" s="2">
        <v>610735.76</v>
      </c>
    </row>
    <row r="40" spans="1:7" x14ac:dyDescent="0.25">
      <c r="A40" s="1">
        <v>44927</v>
      </c>
      <c r="B40" t="s">
        <v>11</v>
      </c>
      <c r="C40" t="s">
        <v>22</v>
      </c>
      <c r="D40" s="2">
        <v>30037104</v>
      </c>
      <c r="E40" s="2">
        <v>11613939.92</v>
      </c>
      <c r="F40" s="2">
        <v>11613939.92</v>
      </c>
      <c r="G40" s="2">
        <v>78557.279999999999</v>
      </c>
    </row>
    <row r="41" spans="1:7" x14ac:dyDescent="0.25">
      <c r="A41" s="1">
        <v>44927</v>
      </c>
      <c r="B41" t="s">
        <v>33</v>
      </c>
      <c r="C41" t="s">
        <v>50</v>
      </c>
      <c r="D41">
        <v>0</v>
      </c>
      <c r="E41">
        <v>0</v>
      </c>
      <c r="F41">
        <v>0</v>
      </c>
      <c r="G41" s="2">
        <v>164184.64000000001</v>
      </c>
    </row>
    <row r="42" spans="1:7" x14ac:dyDescent="0.25">
      <c r="A42" s="1">
        <v>44927</v>
      </c>
      <c r="B42" t="s">
        <v>15</v>
      </c>
      <c r="C42" t="s">
        <v>51</v>
      </c>
      <c r="D42" s="2">
        <v>6264705.7699999996</v>
      </c>
      <c r="E42">
        <v>0</v>
      </c>
      <c r="F42">
        <v>0</v>
      </c>
      <c r="G42" s="2">
        <v>318206.90000000002</v>
      </c>
    </row>
    <row r="43" spans="1:7" x14ac:dyDescent="0.25">
      <c r="A43" s="1">
        <v>44927</v>
      </c>
      <c r="B43" t="s">
        <v>52</v>
      </c>
      <c r="C43" t="s">
        <v>12</v>
      </c>
      <c r="D43" s="2">
        <v>10900</v>
      </c>
      <c r="E43">
        <v>0</v>
      </c>
      <c r="F43">
        <v>0</v>
      </c>
      <c r="G43" s="2">
        <v>127366.63</v>
      </c>
    </row>
    <row r="44" spans="1:7" x14ac:dyDescent="0.25">
      <c r="A44" s="1">
        <v>44927</v>
      </c>
      <c r="B44" t="s">
        <v>31</v>
      </c>
      <c r="C44" t="s">
        <v>53</v>
      </c>
      <c r="D44" s="2">
        <v>3581479612.1900001</v>
      </c>
      <c r="E44" s="2">
        <v>3581479612.1900001</v>
      </c>
      <c r="F44" s="2">
        <v>3581479612.1900001</v>
      </c>
      <c r="G44">
        <v>0</v>
      </c>
    </row>
    <row r="45" spans="1:7" x14ac:dyDescent="0.25">
      <c r="A45" s="1">
        <v>44927</v>
      </c>
      <c r="B45" t="s">
        <v>54</v>
      </c>
      <c r="C45" t="s">
        <v>55</v>
      </c>
      <c r="D45">
        <v>0</v>
      </c>
      <c r="E45">
        <v>0</v>
      </c>
      <c r="F45">
        <v>0</v>
      </c>
      <c r="G45" s="2">
        <v>1395</v>
      </c>
    </row>
    <row r="46" spans="1:7" x14ac:dyDescent="0.25">
      <c r="A46" s="1">
        <v>44927</v>
      </c>
      <c r="B46" t="s">
        <v>27</v>
      </c>
      <c r="C46" t="s">
        <v>56</v>
      </c>
      <c r="D46">
        <v>0</v>
      </c>
      <c r="E46">
        <v>0</v>
      </c>
      <c r="F46">
        <v>0</v>
      </c>
      <c r="G46" s="2">
        <v>69833.3</v>
      </c>
    </row>
    <row r="47" spans="1:7" x14ac:dyDescent="0.25">
      <c r="A47" s="1">
        <v>44927</v>
      </c>
      <c r="B47" t="s">
        <v>41</v>
      </c>
      <c r="C47" t="s">
        <v>57</v>
      </c>
      <c r="D47" s="2">
        <v>78330.22</v>
      </c>
      <c r="E47">
        <v>0</v>
      </c>
      <c r="F47">
        <v>0</v>
      </c>
      <c r="G47" s="2">
        <v>246018.69</v>
      </c>
    </row>
    <row r="48" spans="1:7" x14ac:dyDescent="0.25">
      <c r="A48" s="1">
        <v>44927</v>
      </c>
      <c r="B48" t="s">
        <v>33</v>
      </c>
      <c r="C48" t="s">
        <v>16</v>
      </c>
      <c r="D48">
        <v>0</v>
      </c>
      <c r="E48">
        <v>0</v>
      </c>
      <c r="F48">
        <v>0</v>
      </c>
      <c r="G48" s="2">
        <v>198128.85</v>
      </c>
    </row>
    <row r="49" spans="1:7" x14ac:dyDescent="0.25">
      <c r="A49" s="1">
        <v>44927</v>
      </c>
      <c r="B49" t="s">
        <v>15</v>
      </c>
      <c r="C49" t="s">
        <v>50</v>
      </c>
      <c r="D49">
        <v>0</v>
      </c>
      <c r="E49">
        <v>0</v>
      </c>
      <c r="F49">
        <v>0</v>
      </c>
      <c r="G49" s="2">
        <v>91669.31</v>
      </c>
    </row>
    <row r="50" spans="1:7" x14ac:dyDescent="0.25">
      <c r="A50" s="1">
        <v>44927</v>
      </c>
      <c r="B50" t="s">
        <v>54</v>
      </c>
      <c r="C50" t="s">
        <v>8</v>
      </c>
      <c r="D50" s="2">
        <v>80500</v>
      </c>
      <c r="E50" s="2">
        <v>26761.13</v>
      </c>
      <c r="F50" s="2">
        <v>26761.13</v>
      </c>
      <c r="G50" s="2">
        <v>10831.11</v>
      </c>
    </row>
    <row r="51" spans="1:7" x14ac:dyDescent="0.25">
      <c r="A51" s="1">
        <v>44927</v>
      </c>
      <c r="B51" t="s">
        <v>23</v>
      </c>
      <c r="C51" t="s">
        <v>58</v>
      </c>
      <c r="D51">
        <v>0</v>
      </c>
      <c r="E51">
        <v>0</v>
      </c>
      <c r="F51">
        <v>0</v>
      </c>
      <c r="G51" s="2">
        <v>160400</v>
      </c>
    </row>
    <row r="52" spans="1:7" x14ac:dyDescent="0.25">
      <c r="A52" s="1">
        <v>44927</v>
      </c>
      <c r="B52" t="s">
        <v>17</v>
      </c>
      <c r="C52" t="s">
        <v>59</v>
      </c>
      <c r="D52" s="2">
        <v>17779.080000000002</v>
      </c>
      <c r="E52">
        <v>0</v>
      </c>
      <c r="F52">
        <v>0</v>
      </c>
      <c r="G52" s="2">
        <v>151530.92000000001</v>
      </c>
    </row>
    <row r="53" spans="1:7" x14ac:dyDescent="0.25">
      <c r="A53" s="1">
        <v>44927</v>
      </c>
      <c r="B53" t="s">
        <v>15</v>
      </c>
      <c r="C53" t="s">
        <v>60</v>
      </c>
      <c r="D53" s="2">
        <v>2451573.23</v>
      </c>
      <c r="E53" s="2">
        <v>1367102.83</v>
      </c>
      <c r="F53" s="2">
        <v>803375.67</v>
      </c>
      <c r="G53" s="2">
        <v>550927.29</v>
      </c>
    </row>
    <row r="54" spans="1:7" x14ac:dyDescent="0.25">
      <c r="A54" s="1">
        <v>44927</v>
      </c>
      <c r="B54" t="s">
        <v>9</v>
      </c>
      <c r="C54" t="s">
        <v>22</v>
      </c>
      <c r="D54" s="2">
        <v>1436783728.5</v>
      </c>
      <c r="E54" s="2">
        <v>105353434.48</v>
      </c>
      <c r="F54" s="2">
        <v>105353434.48</v>
      </c>
      <c r="G54" s="2">
        <v>613499.05000000005</v>
      </c>
    </row>
    <row r="55" spans="1:7" x14ac:dyDescent="0.25">
      <c r="A55" s="1">
        <v>44927</v>
      </c>
      <c r="B55" t="s">
        <v>43</v>
      </c>
      <c r="C55" t="s">
        <v>25</v>
      </c>
      <c r="D55" s="2">
        <v>34371.97</v>
      </c>
      <c r="E55">
        <v>0</v>
      </c>
      <c r="F55">
        <v>0</v>
      </c>
      <c r="G55" s="2">
        <v>390481.43</v>
      </c>
    </row>
    <row r="56" spans="1:7" x14ac:dyDescent="0.25">
      <c r="A56" s="1">
        <v>44927</v>
      </c>
      <c r="B56" t="s">
        <v>43</v>
      </c>
      <c r="C56" t="s">
        <v>61</v>
      </c>
      <c r="D56" s="2">
        <v>120329.2</v>
      </c>
      <c r="E56">
        <v>0</v>
      </c>
      <c r="F56">
        <v>0</v>
      </c>
      <c r="G56" s="2">
        <v>2272167.66</v>
      </c>
    </row>
    <row r="57" spans="1:7" x14ac:dyDescent="0.25">
      <c r="A57" s="1">
        <v>44927</v>
      </c>
      <c r="B57" t="s">
        <v>28</v>
      </c>
      <c r="C57" t="s">
        <v>22</v>
      </c>
      <c r="D57" s="2">
        <v>132107544.83</v>
      </c>
      <c r="E57" s="2">
        <v>42476171.770000003</v>
      </c>
      <c r="F57" s="2">
        <v>42473495.409999996</v>
      </c>
      <c r="G57" s="2">
        <v>2257.5</v>
      </c>
    </row>
    <row r="58" spans="1:7" x14ac:dyDescent="0.25">
      <c r="A58" s="1">
        <v>44927</v>
      </c>
      <c r="B58" t="s">
        <v>17</v>
      </c>
      <c r="C58" t="s">
        <v>48</v>
      </c>
      <c r="D58">
        <v>0</v>
      </c>
      <c r="E58">
        <v>0</v>
      </c>
      <c r="F58">
        <v>0</v>
      </c>
      <c r="G58" s="2">
        <v>1419558</v>
      </c>
    </row>
    <row r="59" spans="1:7" x14ac:dyDescent="0.25">
      <c r="A59" s="1">
        <v>44927</v>
      </c>
      <c r="B59" t="s">
        <v>62</v>
      </c>
      <c r="C59" t="s">
        <v>63</v>
      </c>
      <c r="D59">
        <v>0</v>
      </c>
      <c r="E59">
        <v>0</v>
      </c>
      <c r="F59">
        <v>0</v>
      </c>
      <c r="G59">
        <v>0</v>
      </c>
    </row>
    <row r="60" spans="1:7" x14ac:dyDescent="0.25">
      <c r="A60" s="1">
        <v>44927</v>
      </c>
      <c r="B60" t="s">
        <v>23</v>
      </c>
      <c r="C60" t="s">
        <v>64</v>
      </c>
      <c r="D60" s="2">
        <v>1414072.9</v>
      </c>
      <c r="E60" s="2">
        <v>175768.38</v>
      </c>
      <c r="F60" s="2">
        <v>29476.400000000001</v>
      </c>
      <c r="G60" s="2">
        <v>62928.95</v>
      </c>
    </row>
    <row r="61" spans="1:7" x14ac:dyDescent="0.25">
      <c r="A61" s="1">
        <v>44927</v>
      </c>
      <c r="B61" t="s">
        <v>65</v>
      </c>
      <c r="C61" t="s">
        <v>34</v>
      </c>
      <c r="D61" s="2">
        <v>141585.54</v>
      </c>
      <c r="E61" s="2">
        <v>29718.27</v>
      </c>
      <c r="F61" s="2">
        <v>15784.94</v>
      </c>
      <c r="G61" s="2">
        <v>94698.559999999998</v>
      </c>
    </row>
    <row r="62" spans="1:7" x14ac:dyDescent="0.25">
      <c r="A62" s="1">
        <v>44927</v>
      </c>
      <c r="B62" t="s">
        <v>26</v>
      </c>
      <c r="C62" t="s">
        <v>66</v>
      </c>
      <c r="D62" s="2">
        <v>6297.5</v>
      </c>
      <c r="E62" s="2">
        <v>2297.0300000000002</v>
      </c>
      <c r="F62" s="2">
        <v>1804.48</v>
      </c>
      <c r="G62" s="2">
        <v>24004107.41</v>
      </c>
    </row>
    <row r="63" spans="1:7" x14ac:dyDescent="0.25">
      <c r="A63" s="1">
        <v>44927</v>
      </c>
      <c r="B63" t="s">
        <v>33</v>
      </c>
      <c r="C63" t="s">
        <v>67</v>
      </c>
      <c r="D63" s="2">
        <v>212061.63</v>
      </c>
      <c r="E63" s="2">
        <v>66510.850000000006</v>
      </c>
      <c r="F63" s="2">
        <v>66418.47</v>
      </c>
      <c r="G63" s="2">
        <v>3295504.32</v>
      </c>
    </row>
    <row r="64" spans="1:7" x14ac:dyDescent="0.25">
      <c r="A64" s="1">
        <v>44927</v>
      </c>
      <c r="B64" t="s">
        <v>7</v>
      </c>
      <c r="C64" t="s">
        <v>16</v>
      </c>
      <c r="D64" s="2">
        <v>582058.78</v>
      </c>
      <c r="E64">
        <v>0</v>
      </c>
      <c r="F64">
        <v>0</v>
      </c>
      <c r="G64" s="2">
        <v>183082.85</v>
      </c>
    </row>
    <row r="65" spans="1:7" x14ac:dyDescent="0.25">
      <c r="A65" s="1">
        <v>44927</v>
      </c>
      <c r="B65" t="s">
        <v>17</v>
      </c>
      <c r="C65" t="s">
        <v>68</v>
      </c>
      <c r="D65">
        <v>0</v>
      </c>
      <c r="E65">
        <v>0</v>
      </c>
      <c r="F65">
        <v>0</v>
      </c>
      <c r="G65" s="2">
        <v>210317.53</v>
      </c>
    </row>
    <row r="66" spans="1:7" x14ac:dyDescent="0.25">
      <c r="A66" s="1">
        <v>44927</v>
      </c>
      <c r="B66" t="s">
        <v>69</v>
      </c>
      <c r="C66" t="s">
        <v>55</v>
      </c>
      <c r="D66" s="2">
        <v>24656</v>
      </c>
      <c r="E66" s="2">
        <v>7061.01</v>
      </c>
      <c r="F66">
        <v>0</v>
      </c>
      <c r="G66" s="2">
        <v>432321.4</v>
      </c>
    </row>
    <row r="67" spans="1:7" x14ac:dyDescent="0.25">
      <c r="A67" s="1">
        <v>44927</v>
      </c>
      <c r="B67" t="s">
        <v>37</v>
      </c>
      <c r="C67" t="s">
        <v>70</v>
      </c>
      <c r="D67">
        <v>0</v>
      </c>
      <c r="E67">
        <v>0</v>
      </c>
      <c r="F67">
        <v>0</v>
      </c>
      <c r="G67" s="2">
        <v>1880</v>
      </c>
    </row>
    <row r="68" spans="1:7" x14ac:dyDescent="0.25">
      <c r="A68" s="1">
        <v>44927</v>
      </c>
      <c r="B68" t="s">
        <v>47</v>
      </c>
      <c r="C68" t="s">
        <v>22</v>
      </c>
      <c r="D68" s="2">
        <v>14166630</v>
      </c>
      <c r="E68" s="2">
        <v>3910010.04</v>
      </c>
      <c r="F68" s="2">
        <v>3910010.04</v>
      </c>
      <c r="G68">
        <v>0</v>
      </c>
    </row>
    <row r="69" spans="1:7" x14ac:dyDescent="0.25">
      <c r="A69" s="1">
        <v>44927</v>
      </c>
      <c r="B69" t="s">
        <v>69</v>
      </c>
      <c r="C69" t="s">
        <v>34</v>
      </c>
      <c r="D69" s="2">
        <v>7000</v>
      </c>
      <c r="E69">
        <v>253</v>
      </c>
      <c r="F69">
        <v>253</v>
      </c>
      <c r="G69">
        <v>850</v>
      </c>
    </row>
    <row r="70" spans="1:7" x14ac:dyDescent="0.25">
      <c r="A70" s="1">
        <v>44927</v>
      </c>
      <c r="B70" t="s">
        <v>13</v>
      </c>
      <c r="C70" t="s">
        <v>71</v>
      </c>
      <c r="D70">
        <v>0</v>
      </c>
      <c r="E70">
        <v>0</v>
      </c>
      <c r="F70">
        <v>0</v>
      </c>
      <c r="G70" s="2">
        <v>214549.67</v>
      </c>
    </row>
    <row r="71" spans="1:7" x14ac:dyDescent="0.25">
      <c r="A71" s="1">
        <v>44927</v>
      </c>
      <c r="B71" t="s">
        <v>17</v>
      </c>
      <c r="C71" t="s">
        <v>66</v>
      </c>
      <c r="D71">
        <v>0</v>
      </c>
      <c r="E71">
        <v>0</v>
      </c>
      <c r="F71">
        <v>0</v>
      </c>
      <c r="G71">
        <v>0</v>
      </c>
    </row>
    <row r="72" spans="1:7" x14ac:dyDescent="0.25">
      <c r="A72" s="1">
        <v>44927</v>
      </c>
      <c r="B72" t="s">
        <v>37</v>
      </c>
      <c r="C72" t="s">
        <v>72</v>
      </c>
      <c r="D72" s="2">
        <v>15802288.76</v>
      </c>
      <c r="E72" s="2">
        <v>996853.2</v>
      </c>
      <c r="F72">
        <v>0</v>
      </c>
      <c r="G72">
        <v>0</v>
      </c>
    </row>
    <row r="73" spans="1:7" x14ac:dyDescent="0.25">
      <c r="A73" s="1">
        <v>44927</v>
      </c>
      <c r="B73" t="s">
        <v>28</v>
      </c>
      <c r="C73" t="s">
        <v>14</v>
      </c>
      <c r="D73" s="2">
        <v>95291609.959999993</v>
      </c>
      <c r="E73" s="2">
        <v>53107352.840000004</v>
      </c>
      <c r="F73" s="2">
        <v>16188132.98</v>
      </c>
      <c r="G73" s="2">
        <v>26881478.84</v>
      </c>
    </row>
    <row r="74" spans="1:7" x14ac:dyDescent="0.25">
      <c r="A74" s="1">
        <v>44927</v>
      </c>
      <c r="B74" t="s">
        <v>65</v>
      </c>
      <c r="C74" t="s">
        <v>73</v>
      </c>
      <c r="D74" s="2">
        <v>745602973.94000006</v>
      </c>
      <c r="E74" s="2">
        <v>745602973.94000006</v>
      </c>
      <c r="F74" s="2">
        <v>745602973.94000006</v>
      </c>
      <c r="G74" s="2">
        <v>1265915876.6500001</v>
      </c>
    </row>
    <row r="75" spans="1:7" x14ac:dyDescent="0.25">
      <c r="A75" s="1">
        <v>44927</v>
      </c>
      <c r="B75" t="s">
        <v>13</v>
      </c>
      <c r="C75" t="s">
        <v>12</v>
      </c>
      <c r="D75" s="2">
        <v>315400</v>
      </c>
      <c r="E75" s="2">
        <v>306700</v>
      </c>
      <c r="F75" s="2">
        <v>306700</v>
      </c>
      <c r="G75" s="2">
        <v>64649.75</v>
      </c>
    </row>
    <row r="76" spans="1:7" x14ac:dyDescent="0.25">
      <c r="A76" s="1">
        <v>44927</v>
      </c>
      <c r="B76" t="s">
        <v>36</v>
      </c>
      <c r="C76" t="s">
        <v>57</v>
      </c>
      <c r="D76" s="2">
        <v>1051925.54</v>
      </c>
      <c r="E76" s="2">
        <v>38168.65</v>
      </c>
      <c r="F76" s="2">
        <v>34071.68</v>
      </c>
      <c r="G76" s="2">
        <v>14616296</v>
      </c>
    </row>
    <row r="77" spans="1:7" x14ac:dyDescent="0.25">
      <c r="A77" s="1">
        <v>44927</v>
      </c>
      <c r="B77" t="s">
        <v>27</v>
      </c>
      <c r="C77" t="s">
        <v>57</v>
      </c>
      <c r="D77" s="2">
        <v>336451.84000000003</v>
      </c>
      <c r="E77" s="2">
        <v>70560.009999999995</v>
      </c>
      <c r="F77" s="2">
        <v>69404.149999999994</v>
      </c>
      <c r="G77" s="2">
        <v>41571.43</v>
      </c>
    </row>
    <row r="78" spans="1:7" x14ac:dyDescent="0.25">
      <c r="A78" s="1">
        <v>44927</v>
      </c>
      <c r="B78" t="s">
        <v>54</v>
      </c>
      <c r="C78" t="s">
        <v>74</v>
      </c>
      <c r="D78">
        <v>0</v>
      </c>
      <c r="E78">
        <v>0</v>
      </c>
      <c r="F78">
        <v>0</v>
      </c>
      <c r="G78" s="2">
        <v>79319.399999999994</v>
      </c>
    </row>
    <row r="79" spans="1:7" x14ac:dyDescent="0.25">
      <c r="A79" s="1">
        <v>44927</v>
      </c>
      <c r="B79" t="s">
        <v>21</v>
      </c>
      <c r="C79" t="s">
        <v>72</v>
      </c>
      <c r="D79" s="2">
        <v>1230751.2</v>
      </c>
      <c r="E79" s="2">
        <v>545923.21</v>
      </c>
      <c r="F79" s="2">
        <v>8751.2000000000007</v>
      </c>
      <c r="G79">
        <v>0</v>
      </c>
    </row>
    <row r="80" spans="1:7" x14ac:dyDescent="0.25">
      <c r="A80" s="1">
        <v>44927</v>
      </c>
      <c r="B80" t="s">
        <v>26</v>
      </c>
      <c r="C80" t="s">
        <v>72</v>
      </c>
      <c r="D80" s="2">
        <v>37660631.850000001</v>
      </c>
      <c r="E80" s="2">
        <v>2626426.4900000002</v>
      </c>
      <c r="F80" s="2">
        <v>26319.58</v>
      </c>
      <c r="G80">
        <v>0</v>
      </c>
    </row>
    <row r="81" spans="1:7" x14ac:dyDescent="0.25">
      <c r="A81" s="1">
        <v>44927</v>
      </c>
      <c r="B81" t="s">
        <v>28</v>
      </c>
      <c r="C81" t="s">
        <v>75</v>
      </c>
      <c r="D81" s="2">
        <v>50000</v>
      </c>
      <c r="E81" s="2">
        <v>1604.86</v>
      </c>
      <c r="F81" s="2">
        <v>1604.86</v>
      </c>
      <c r="G81" s="2">
        <v>204586.15</v>
      </c>
    </row>
    <row r="82" spans="1:7" x14ac:dyDescent="0.25">
      <c r="A82" s="1">
        <v>44927</v>
      </c>
      <c r="B82" t="s">
        <v>54</v>
      </c>
      <c r="C82" t="s">
        <v>76</v>
      </c>
      <c r="D82" s="2">
        <v>94799</v>
      </c>
      <c r="E82" s="2">
        <v>2101.6</v>
      </c>
      <c r="F82" s="2">
        <v>2101.6</v>
      </c>
      <c r="G82" s="2">
        <v>866903.08</v>
      </c>
    </row>
    <row r="83" spans="1:7" x14ac:dyDescent="0.25">
      <c r="A83" s="1">
        <v>44927</v>
      </c>
      <c r="B83" t="s">
        <v>69</v>
      </c>
      <c r="C83" t="s">
        <v>77</v>
      </c>
      <c r="D83" s="2">
        <v>802000</v>
      </c>
      <c r="E83">
        <v>0</v>
      </c>
      <c r="F83">
        <v>0</v>
      </c>
      <c r="G83" s="2">
        <v>10640802.16</v>
      </c>
    </row>
    <row r="84" spans="1:7" x14ac:dyDescent="0.25">
      <c r="A84" s="1">
        <v>44927</v>
      </c>
      <c r="B84" t="s">
        <v>47</v>
      </c>
      <c r="C84" t="s">
        <v>78</v>
      </c>
      <c r="D84">
        <v>0</v>
      </c>
      <c r="E84">
        <v>0</v>
      </c>
      <c r="F84">
        <v>0</v>
      </c>
      <c r="G84" s="2">
        <v>2190697.1800000002</v>
      </c>
    </row>
    <row r="85" spans="1:7" x14ac:dyDescent="0.25">
      <c r="A85" s="1">
        <v>44927</v>
      </c>
      <c r="B85" t="s">
        <v>27</v>
      </c>
      <c r="C85" t="s">
        <v>78</v>
      </c>
      <c r="D85">
        <v>0</v>
      </c>
      <c r="E85">
        <v>0</v>
      </c>
      <c r="F85">
        <v>0</v>
      </c>
      <c r="G85" s="2">
        <v>7797741.7599999998</v>
      </c>
    </row>
    <row r="86" spans="1:7" x14ac:dyDescent="0.25">
      <c r="A86" s="1">
        <v>44927</v>
      </c>
      <c r="B86" t="s">
        <v>65</v>
      </c>
      <c r="C86" t="s">
        <v>14</v>
      </c>
      <c r="D86" s="2">
        <v>28214474.100000001</v>
      </c>
      <c r="E86">
        <v>0</v>
      </c>
      <c r="F86">
        <v>0</v>
      </c>
      <c r="G86" s="2">
        <v>14344004.960000001</v>
      </c>
    </row>
    <row r="87" spans="1:7" x14ac:dyDescent="0.25">
      <c r="A87" s="1">
        <v>44927</v>
      </c>
      <c r="B87" t="s">
        <v>13</v>
      </c>
      <c r="C87" t="s">
        <v>79</v>
      </c>
      <c r="D87">
        <v>0</v>
      </c>
      <c r="E87">
        <v>0</v>
      </c>
      <c r="F87">
        <v>0</v>
      </c>
      <c r="G87" s="2">
        <v>300000</v>
      </c>
    </row>
    <row r="88" spans="1:7" x14ac:dyDescent="0.25">
      <c r="A88" s="1">
        <v>44927</v>
      </c>
      <c r="B88" t="s">
        <v>21</v>
      </c>
      <c r="C88" t="s">
        <v>80</v>
      </c>
      <c r="D88" s="2">
        <v>3254160000</v>
      </c>
      <c r="E88" s="2">
        <v>160709418.75999999</v>
      </c>
      <c r="F88" s="2">
        <v>155354709.38</v>
      </c>
      <c r="G88" s="2">
        <v>33104254.18</v>
      </c>
    </row>
    <row r="89" spans="1:7" x14ac:dyDescent="0.25">
      <c r="A89" s="1">
        <v>44927</v>
      </c>
      <c r="B89" t="s">
        <v>21</v>
      </c>
      <c r="C89" t="s">
        <v>78</v>
      </c>
      <c r="D89">
        <v>0</v>
      </c>
      <c r="E89">
        <v>0</v>
      </c>
      <c r="F89">
        <v>0</v>
      </c>
      <c r="G89" s="2">
        <v>583244.68999999994</v>
      </c>
    </row>
    <row r="90" spans="1:7" x14ac:dyDescent="0.25">
      <c r="A90" s="1">
        <v>44927</v>
      </c>
      <c r="B90" t="s">
        <v>54</v>
      </c>
      <c r="C90" t="s">
        <v>79</v>
      </c>
      <c r="D90" s="2">
        <v>198735.4</v>
      </c>
      <c r="E90" s="2">
        <v>19932.990000000002</v>
      </c>
      <c r="F90" s="2">
        <v>19932.990000000002</v>
      </c>
      <c r="G90">
        <v>824.74</v>
      </c>
    </row>
    <row r="91" spans="1:7" x14ac:dyDescent="0.25">
      <c r="A91" s="1">
        <v>44927</v>
      </c>
      <c r="B91" t="s">
        <v>11</v>
      </c>
      <c r="C91" t="s">
        <v>71</v>
      </c>
      <c r="D91" s="2">
        <v>693097.76</v>
      </c>
      <c r="E91" s="2">
        <v>331070.24</v>
      </c>
      <c r="F91" s="2">
        <v>331070.24</v>
      </c>
      <c r="G91" s="2">
        <v>7000901.0899999999</v>
      </c>
    </row>
    <row r="92" spans="1:7" x14ac:dyDescent="0.25">
      <c r="A92" s="1">
        <v>44927</v>
      </c>
      <c r="B92" t="s">
        <v>33</v>
      </c>
      <c r="C92" t="s">
        <v>55</v>
      </c>
      <c r="D92">
        <v>242.98</v>
      </c>
      <c r="E92">
        <v>242.96</v>
      </c>
      <c r="F92">
        <v>242.96</v>
      </c>
      <c r="G92" s="2">
        <v>420074.73</v>
      </c>
    </row>
    <row r="93" spans="1:7" x14ac:dyDescent="0.25">
      <c r="A93" s="1">
        <v>44927</v>
      </c>
      <c r="B93" t="s">
        <v>43</v>
      </c>
      <c r="C93" t="s">
        <v>22</v>
      </c>
      <c r="D93" s="2">
        <v>36212623.18</v>
      </c>
      <c r="E93" s="2">
        <v>7866312.5099999998</v>
      </c>
      <c r="F93" s="2">
        <v>7850756.1399999997</v>
      </c>
      <c r="G93" s="2">
        <v>32079.39</v>
      </c>
    </row>
    <row r="94" spans="1:7" x14ac:dyDescent="0.25">
      <c r="A94" s="1">
        <v>44927</v>
      </c>
      <c r="B94" t="s">
        <v>52</v>
      </c>
      <c r="C94" t="s">
        <v>72</v>
      </c>
      <c r="D94" s="2">
        <v>2000332.47</v>
      </c>
      <c r="E94" s="2">
        <v>1904686.51</v>
      </c>
      <c r="F94" s="2">
        <v>327552.56</v>
      </c>
      <c r="G94">
        <v>0</v>
      </c>
    </row>
    <row r="95" spans="1:7" x14ac:dyDescent="0.25">
      <c r="A95" s="1">
        <v>44927</v>
      </c>
      <c r="B95" t="s">
        <v>28</v>
      </c>
      <c r="C95" t="s">
        <v>12</v>
      </c>
      <c r="D95" s="2">
        <v>79140</v>
      </c>
      <c r="E95" s="2">
        <v>7949.62</v>
      </c>
      <c r="F95" s="2">
        <v>7949.62</v>
      </c>
      <c r="G95">
        <v>0</v>
      </c>
    </row>
    <row r="96" spans="1:7" x14ac:dyDescent="0.25">
      <c r="A96" s="1">
        <v>44927</v>
      </c>
      <c r="B96" t="s">
        <v>7</v>
      </c>
      <c r="C96" t="s">
        <v>81</v>
      </c>
      <c r="D96" s="2">
        <v>4711334604</v>
      </c>
      <c r="E96" s="2">
        <v>339256747.37</v>
      </c>
      <c r="F96" s="2">
        <v>339212777.63999999</v>
      </c>
      <c r="G96" s="2">
        <v>80014536.629999995</v>
      </c>
    </row>
    <row r="97" spans="1:7" x14ac:dyDescent="0.25">
      <c r="A97" s="1">
        <v>44927</v>
      </c>
      <c r="B97" t="s">
        <v>15</v>
      </c>
      <c r="C97" t="s">
        <v>25</v>
      </c>
      <c r="D97" s="2">
        <v>5070130.1900000004</v>
      </c>
      <c r="E97" s="2">
        <v>9408.0400000000009</v>
      </c>
      <c r="F97" s="2">
        <v>9408.0400000000009</v>
      </c>
      <c r="G97">
        <v>0</v>
      </c>
    </row>
    <row r="98" spans="1:7" x14ac:dyDescent="0.25">
      <c r="A98" s="1">
        <v>44927</v>
      </c>
      <c r="B98" t="s">
        <v>69</v>
      </c>
      <c r="C98" t="s">
        <v>22</v>
      </c>
      <c r="D98" s="2">
        <v>138664296.47999999</v>
      </c>
      <c r="E98" s="2">
        <v>13403110.300000001</v>
      </c>
      <c r="F98" s="2">
        <v>13338569.65</v>
      </c>
      <c r="G98" s="2">
        <v>3984400.6</v>
      </c>
    </row>
    <row r="99" spans="1:7" x14ac:dyDescent="0.25">
      <c r="A99" s="1">
        <v>44927</v>
      </c>
      <c r="B99" t="s">
        <v>62</v>
      </c>
      <c r="C99" t="s">
        <v>39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 s="1">
        <v>44927</v>
      </c>
      <c r="B100" t="s">
        <v>31</v>
      </c>
      <c r="C100" t="s">
        <v>82</v>
      </c>
      <c r="D100" s="2">
        <v>561094325085.04004</v>
      </c>
      <c r="E100" s="2">
        <v>420308958123.21002</v>
      </c>
      <c r="F100" s="2">
        <v>420308958123.21002</v>
      </c>
      <c r="G100">
        <v>0</v>
      </c>
    </row>
    <row r="101" spans="1:7" x14ac:dyDescent="0.25">
      <c r="A101" s="1">
        <v>44927</v>
      </c>
      <c r="B101" t="s">
        <v>37</v>
      </c>
      <c r="C101" t="s">
        <v>16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 s="1">
        <v>44927</v>
      </c>
      <c r="B102" t="s">
        <v>83</v>
      </c>
      <c r="C102" t="s">
        <v>42</v>
      </c>
      <c r="D102">
        <v>0</v>
      </c>
      <c r="E102">
        <v>0</v>
      </c>
      <c r="F102">
        <v>0</v>
      </c>
      <c r="G102" s="2">
        <v>35400.089999999997</v>
      </c>
    </row>
    <row r="103" spans="1:7" x14ac:dyDescent="0.25">
      <c r="A103" s="1">
        <v>44927</v>
      </c>
      <c r="B103" t="s">
        <v>69</v>
      </c>
      <c r="C103" t="s">
        <v>84</v>
      </c>
      <c r="D103">
        <v>0</v>
      </c>
      <c r="E103">
        <v>0</v>
      </c>
      <c r="F103">
        <v>0</v>
      </c>
      <c r="G103" s="2">
        <v>77754.759999999995</v>
      </c>
    </row>
    <row r="104" spans="1:7" x14ac:dyDescent="0.25">
      <c r="A104" s="1">
        <v>44927</v>
      </c>
      <c r="B104" t="s">
        <v>17</v>
      </c>
      <c r="C104" t="s">
        <v>34</v>
      </c>
      <c r="D104">
        <v>0</v>
      </c>
      <c r="E104">
        <v>0</v>
      </c>
      <c r="F104">
        <v>0</v>
      </c>
      <c r="G104" s="2">
        <v>4050000</v>
      </c>
    </row>
    <row r="105" spans="1:7" x14ac:dyDescent="0.25">
      <c r="A105" s="1">
        <v>44927</v>
      </c>
      <c r="B105" t="s">
        <v>28</v>
      </c>
      <c r="C105" t="s">
        <v>72</v>
      </c>
      <c r="D105" s="2">
        <v>103956852.87</v>
      </c>
      <c r="E105" s="2">
        <v>13011649.83</v>
      </c>
      <c r="F105" s="2">
        <v>52070.29</v>
      </c>
      <c r="G105">
        <v>0</v>
      </c>
    </row>
    <row r="106" spans="1:7" x14ac:dyDescent="0.25">
      <c r="A106" s="1">
        <v>44927</v>
      </c>
      <c r="B106" t="s">
        <v>47</v>
      </c>
      <c r="C106" t="s">
        <v>16</v>
      </c>
      <c r="D106" s="2">
        <v>30000</v>
      </c>
      <c r="E106">
        <v>0</v>
      </c>
      <c r="F106">
        <v>0</v>
      </c>
      <c r="G106" s="2">
        <v>1718213.74</v>
      </c>
    </row>
    <row r="107" spans="1:7" x14ac:dyDescent="0.25">
      <c r="A107" s="1">
        <v>44927</v>
      </c>
      <c r="B107" t="s">
        <v>41</v>
      </c>
      <c r="C107" t="s">
        <v>85</v>
      </c>
      <c r="D107">
        <v>0</v>
      </c>
      <c r="E107">
        <v>0</v>
      </c>
      <c r="F107">
        <v>0</v>
      </c>
      <c r="G107" s="2">
        <v>3005868.12</v>
      </c>
    </row>
    <row r="108" spans="1:7" x14ac:dyDescent="0.25">
      <c r="A108" s="1">
        <v>44927</v>
      </c>
      <c r="B108" t="s">
        <v>13</v>
      </c>
      <c r="C108" t="s">
        <v>22</v>
      </c>
      <c r="D108" s="2">
        <v>193337302.02000001</v>
      </c>
      <c r="E108" s="2">
        <v>14154494.300000001</v>
      </c>
      <c r="F108" s="2">
        <v>14104047.83</v>
      </c>
      <c r="G108">
        <v>0</v>
      </c>
    </row>
    <row r="109" spans="1:7" x14ac:dyDescent="0.25">
      <c r="A109" s="1">
        <v>44927</v>
      </c>
      <c r="B109" t="s">
        <v>54</v>
      </c>
      <c r="C109" t="s">
        <v>22</v>
      </c>
      <c r="D109" s="2">
        <v>177273128.87</v>
      </c>
      <c r="E109" s="2">
        <v>18879294.859999999</v>
      </c>
      <c r="F109" s="2">
        <v>18879294.859999999</v>
      </c>
      <c r="G109">
        <v>0</v>
      </c>
    </row>
    <row r="110" spans="1:7" x14ac:dyDescent="0.25">
      <c r="A110" s="1">
        <v>44927</v>
      </c>
      <c r="B110" t="s">
        <v>17</v>
      </c>
      <c r="C110" t="s">
        <v>86</v>
      </c>
      <c r="D110">
        <v>0</v>
      </c>
      <c r="E110">
        <v>0</v>
      </c>
      <c r="F110">
        <v>0</v>
      </c>
      <c r="G110" s="2">
        <v>699705.24</v>
      </c>
    </row>
    <row r="111" spans="1:7" x14ac:dyDescent="0.25">
      <c r="A111" s="1">
        <v>44927</v>
      </c>
      <c r="B111" t="s">
        <v>15</v>
      </c>
      <c r="C111" t="s">
        <v>78</v>
      </c>
      <c r="D111">
        <v>0</v>
      </c>
      <c r="E111">
        <v>0</v>
      </c>
      <c r="F111">
        <v>0</v>
      </c>
      <c r="G111" s="2">
        <v>2010293.84</v>
      </c>
    </row>
    <row r="112" spans="1:7" x14ac:dyDescent="0.25">
      <c r="A112" s="1">
        <v>44927</v>
      </c>
      <c r="B112" t="s">
        <v>23</v>
      </c>
      <c r="C112" t="s">
        <v>79</v>
      </c>
      <c r="D112" s="2">
        <v>100000</v>
      </c>
      <c r="E112">
        <v>0</v>
      </c>
      <c r="F112">
        <v>0</v>
      </c>
      <c r="G112" s="2">
        <v>1030210.69</v>
      </c>
    </row>
    <row r="113" spans="1:7" x14ac:dyDescent="0.25">
      <c r="A113" s="1">
        <v>44927</v>
      </c>
      <c r="B113" t="s">
        <v>87</v>
      </c>
      <c r="C113" t="s">
        <v>77</v>
      </c>
      <c r="D113">
        <v>0</v>
      </c>
      <c r="E113">
        <v>0</v>
      </c>
      <c r="F113">
        <v>0</v>
      </c>
      <c r="G113" s="2">
        <v>28779088.66</v>
      </c>
    </row>
    <row r="114" spans="1:7" x14ac:dyDescent="0.25">
      <c r="A114" s="1">
        <v>44927</v>
      </c>
      <c r="B114" t="s">
        <v>69</v>
      </c>
      <c r="C114" t="s">
        <v>72</v>
      </c>
      <c r="D114" s="2">
        <v>38385187.719999999</v>
      </c>
      <c r="E114" s="2">
        <v>4107750.35</v>
      </c>
      <c r="F114" s="2">
        <v>53129.22</v>
      </c>
      <c r="G114">
        <v>0</v>
      </c>
    </row>
    <row r="115" spans="1:7" x14ac:dyDescent="0.25">
      <c r="A115" s="1">
        <v>44927</v>
      </c>
      <c r="B115" t="s">
        <v>15</v>
      </c>
      <c r="C115" t="s">
        <v>88</v>
      </c>
      <c r="D115" s="2">
        <v>1829851.29</v>
      </c>
      <c r="E115" s="2">
        <v>19198.89</v>
      </c>
      <c r="F115" s="2">
        <v>19038.72</v>
      </c>
      <c r="G115" s="2">
        <v>2564510.2799999998</v>
      </c>
    </row>
    <row r="116" spans="1:7" x14ac:dyDescent="0.25">
      <c r="A116" s="1">
        <v>44927</v>
      </c>
      <c r="B116" t="s">
        <v>26</v>
      </c>
      <c r="C116" t="s">
        <v>68</v>
      </c>
      <c r="D116">
        <v>0</v>
      </c>
      <c r="E116">
        <v>0</v>
      </c>
      <c r="F116">
        <v>0</v>
      </c>
      <c r="G116" s="2">
        <v>925492.96</v>
      </c>
    </row>
    <row r="117" spans="1:7" x14ac:dyDescent="0.25">
      <c r="A117" s="1">
        <v>44927</v>
      </c>
      <c r="B117" t="s">
        <v>65</v>
      </c>
      <c r="C117" t="s">
        <v>89</v>
      </c>
      <c r="D117">
        <v>0</v>
      </c>
      <c r="E117">
        <v>0</v>
      </c>
      <c r="F117">
        <v>0</v>
      </c>
      <c r="G117">
        <v>212.66</v>
      </c>
    </row>
    <row r="118" spans="1:7" x14ac:dyDescent="0.25">
      <c r="A118" s="1">
        <v>44927</v>
      </c>
      <c r="B118" t="s">
        <v>21</v>
      </c>
      <c r="C118" t="s">
        <v>57</v>
      </c>
      <c r="D118" s="2">
        <v>17714215.879999999</v>
      </c>
      <c r="E118" s="2">
        <v>7643720.6900000004</v>
      </c>
      <c r="F118" s="2">
        <v>2509143.2799999998</v>
      </c>
      <c r="G118" s="2">
        <v>12656727.880000001</v>
      </c>
    </row>
    <row r="119" spans="1:7" x14ac:dyDescent="0.25">
      <c r="A119" s="1">
        <v>44927</v>
      </c>
      <c r="B119" t="s">
        <v>62</v>
      </c>
      <c r="C119" t="s">
        <v>12</v>
      </c>
      <c r="D119" s="2">
        <v>4800</v>
      </c>
      <c r="E119" s="2">
        <v>1503.31</v>
      </c>
      <c r="F119">
        <v>0</v>
      </c>
      <c r="G119" s="2">
        <v>168536.92</v>
      </c>
    </row>
    <row r="120" spans="1:7" x14ac:dyDescent="0.25">
      <c r="A120" s="1">
        <v>44927</v>
      </c>
      <c r="B120" t="s">
        <v>28</v>
      </c>
      <c r="C120" t="s">
        <v>90</v>
      </c>
      <c r="D120" s="2">
        <v>1552935.24</v>
      </c>
      <c r="E120" s="2">
        <v>144940.85</v>
      </c>
      <c r="F120" s="2">
        <v>135671.85999999999</v>
      </c>
      <c r="G120" s="2">
        <v>79178.720000000001</v>
      </c>
    </row>
    <row r="121" spans="1:7" x14ac:dyDescent="0.25">
      <c r="A121" s="1">
        <v>44927</v>
      </c>
      <c r="B121" t="s">
        <v>37</v>
      </c>
      <c r="C121" t="s">
        <v>78</v>
      </c>
      <c r="D121">
        <v>0</v>
      </c>
      <c r="E121">
        <v>0</v>
      </c>
      <c r="F121">
        <v>0</v>
      </c>
      <c r="G121" s="2">
        <v>1361388.46</v>
      </c>
    </row>
    <row r="122" spans="1:7" x14ac:dyDescent="0.25">
      <c r="A122" s="1">
        <v>44927</v>
      </c>
      <c r="B122" t="s">
        <v>62</v>
      </c>
      <c r="C122" t="s">
        <v>78</v>
      </c>
      <c r="D122">
        <v>0</v>
      </c>
      <c r="E122">
        <v>0</v>
      </c>
      <c r="F122">
        <v>0</v>
      </c>
      <c r="G122" s="2">
        <v>1760374.03</v>
      </c>
    </row>
    <row r="123" spans="1:7" x14ac:dyDescent="0.25">
      <c r="A123" s="1">
        <v>44927</v>
      </c>
      <c r="B123" t="s">
        <v>91</v>
      </c>
      <c r="C123" t="s">
        <v>51</v>
      </c>
      <c r="D123" s="2">
        <v>89131.89</v>
      </c>
      <c r="E123" s="2">
        <v>11484.64</v>
      </c>
      <c r="F123" s="2">
        <v>11484.64</v>
      </c>
      <c r="G123">
        <v>0</v>
      </c>
    </row>
    <row r="124" spans="1:7" x14ac:dyDescent="0.25">
      <c r="A124" s="1">
        <v>44927</v>
      </c>
      <c r="B124" t="s">
        <v>13</v>
      </c>
      <c r="C124" t="s">
        <v>67</v>
      </c>
      <c r="D124" s="2">
        <v>44925.95</v>
      </c>
      <c r="E124" s="2">
        <v>11323.92</v>
      </c>
      <c r="F124" s="2">
        <v>7292.26</v>
      </c>
      <c r="G124" s="2">
        <v>7104742.5099999998</v>
      </c>
    </row>
    <row r="125" spans="1:7" x14ac:dyDescent="0.25">
      <c r="A125" s="1">
        <v>44927</v>
      </c>
      <c r="B125" t="s">
        <v>65</v>
      </c>
      <c r="C125" t="s">
        <v>78</v>
      </c>
      <c r="D125">
        <v>0</v>
      </c>
      <c r="E125">
        <v>0</v>
      </c>
      <c r="F125">
        <v>0</v>
      </c>
      <c r="G125" s="2">
        <v>6975667.8200000003</v>
      </c>
    </row>
    <row r="126" spans="1:7" x14ac:dyDescent="0.25">
      <c r="A126" s="1">
        <v>44927</v>
      </c>
      <c r="B126" t="s">
        <v>91</v>
      </c>
      <c r="C126" t="s">
        <v>14</v>
      </c>
      <c r="D126" s="2">
        <v>5739473.5999999996</v>
      </c>
      <c r="E126" s="2">
        <v>71059.3</v>
      </c>
      <c r="F126" s="2">
        <v>31157.1</v>
      </c>
      <c r="G126" s="2">
        <v>15861347.92</v>
      </c>
    </row>
    <row r="127" spans="1:7" x14ac:dyDescent="0.25">
      <c r="A127" s="1">
        <v>44927</v>
      </c>
      <c r="B127" t="s">
        <v>27</v>
      </c>
      <c r="C127" t="s">
        <v>72</v>
      </c>
      <c r="D127" s="2">
        <v>111477729</v>
      </c>
      <c r="E127" s="2">
        <v>6625667.9400000004</v>
      </c>
      <c r="F127" s="2">
        <v>422456.17</v>
      </c>
      <c r="G127">
        <v>0</v>
      </c>
    </row>
    <row r="128" spans="1:7" x14ac:dyDescent="0.25">
      <c r="A128" s="1">
        <v>44927</v>
      </c>
      <c r="B128" t="s">
        <v>54</v>
      </c>
      <c r="C128" t="s">
        <v>89</v>
      </c>
      <c r="D128">
        <v>0</v>
      </c>
      <c r="E128">
        <v>0</v>
      </c>
      <c r="F128">
        <v>0</v>
      </c>
      <c r="G128" s="2">
        <v>74742.070000000007</v>
      </c>
    </row>
    <row r="129" spans="1:7" x14ac:dyDescent="0.25">
      <c r="A129" s="1">
        <v>44927</v>
      </c>
      <c r="B129" t="s">
        <v>91</v>
      </c>
      <c r="C129" t="s">
        <v>22</v>
      </c>
      <c r="D129" s="2">
        <v>117685606.48</v>
      </c>
      <c r="E129" s="2">
        <v>14640616.720000001</v>
      </c>
      <c r="F129" s="2">
        <v>14637303.199999999</v>
      </c>
      <c r="G129" s="2">
        <v>9907.58</v>
      </c>
    </row>
    <row r="130" spans="1:7" x14ac:dyDescent="0.25">
      <c r="A130" s="1">
        <v>44927</v>
      </c>
      <c r="B130" t="s">
        <v>31</v>
      </c>
      <c r="C130" t="s">
        <v>92</v>
      </c>
      <c r="D130" s="2">
        <v>26126330153.439999</v>
      </c>
      <c r="E130" s="2">
        <v>4945581099.6400003</v>
      </c>
      <c r="F130" s="2">
        <v>4945581099.6400003</v>
      </c>
      <c r="G130" s="2">
        <v>1596700.76</v>
      </c>
    </row>
    <row r="131" spans="1:7" x14ac:dyDescent="0.25">
      <c r="A131" s="1">
        <v>44927</v>
      </c>
      <c r="B131" t="s">
        <v>28</v>
      </c>
      <c r="C131" t="s">
        <v>78</v>
      </c>
      <c r="D131">
        <v>0</v>
      </c>
      <c r="E131">
        <v>0</v>
      </c>
      <c r="F131">
        <v>0</v>
      </c>
      <c r="G131" s="2">
        <v>19306266.969999999</v>
      </c>
    </row>
    <row r="132" spans="1:7" x14ac:dyDescent="0.25">
      <c r="A132" s="1">
        <v>44927</v>
      </c>
      <c r="B132" t="s">
        <v>15</v>
      </c>
      <c r="C132" t="s">
        <v>72</v>
      </c>
      <c r="D132" s="2">
        <v>26565790</v>
      </c>
      <c r="E132" s="2">
        <v>1861345.54</v>
      </c>
      <c r="F132" s="2">
        <v>6935.96</v>
      </c>
      <c r="G132">
        <v>0</v>
      </c>
    </row>
    <row r="133" spans="1:7" x14ac:dyDescent="0.25">
      <c r="A133" s="1">
        <v>44927</v>
      </c>
      <c r="B133" t="s">
        <v>9</v>
      </c>
      <c r="C133" t="s">
        <v>24</v>
      </c>
      <c r="D133">
        <v>0</v>
      </c>
      <c r="E133">
        <v>0</v>
      </c>
      <c r="F133">
        <v>0</v>
      </c>
      <c r="G133" s="2">
        <v>455107.12</v>
      </c>
    </row>
    <row r="134" spans="1:7" x14ac:dyDescent="0.25">
      <c r="A134" s="1">
        <v>44927</v>
      </c>
      <c r="B134" t="s">
        <v>17</v>
      </c>
      <c r="C134" t="s">
        <v>93</v>
      </c>
      <c r="D134" s="2">
        <v>635690.54</v>
      </c>
      <c r="E134" s="2">
        <v>38614.6</v>
      </c>
      <c r="F134" s="2">
        <v>38614.6</v>
      </c>
      <c r="G134" s="2">
        <v>3796120.58</v>
      </c>
    </row>
    <row r="135" spans="1:7" x14ac:dyDescent="0.25">
      <c r="A135" s="1">
        <v>44927</v>
      </c>
      <c r="B135" t="s">
        <v>26</v>
      </c>
      <c r="C135" t="s">
        <v>78</v>
      </c>
      <c r="D135">
        <v>0</v>
      </c>
      <c r="E135">
        <v>0</v>
      </c>
      <c r="F135">
        <v>0</v>
      </c>
      <c r="G135" s="2">
        <v>2885866.68</v>
      </c>
    </row>
    <row r="136" spans="1:7" x14ac:dyDescent="0.25">
      <c r="A136" s="1">
        <v>44927</v>
      </c>
      <c r="B136" t="s">
        <v>69</v>
      </c>
      <c r="C136" t="s">
        <v>12</v>
      </c>
      <c r="D136" s="2">
        <v>19503.919999999998</v>
      </c>
      <c r="E136">
        <v>761.12</v>
      </c>
      <c r="F136">
        <v>761.12</v>
      </c>
      <c r="G136" s="2">
        <v>76443.789999999994</v>
      </c>
    </row>
    <row r="137" spans="1:7" x14ac:dyDescent="0.25">
      <c r="A137" s="1">
        <v>44927</v>
      </c>
      <c r="B137" t="s">
        <v>37</v>
      </c>
      <c r="C137" t="s">
        <v>22</v>
      </c>
      <c r="D137" s="2">
        <v>44203768.310000002</v>
      </c>
      <c r="E137" s="2">
        <v>6124845.8799999999</v>
      </c>
      <c r="F137" s="2">
        <v>6124845.8799999999</v>
      </c>
      <c r="G137" s="2">
        <v>4579821.42</v>
      </c>
    </row>
    <row r="138" spans="1:7" x14ac:dyDescent="0.25">
      <c r="A138" s="1">
        <v>44927</v>
      </c>
      <c r="B138" t="s">
        <v>33</v>
      </c>
      <c r="C138" t="s">
        <v>94</v>
      </c>
      <c r="D138" s="2">
        <v>1444619</v>
      </c>
      <c r="E138" s="2">
        <v>7445.26</v>
      </c>
      <c r="F138" s="2">
        <v>6229.17</v>
      </c>
      <c r="G138" s="2">
        <v>478261.06</v>
      </c>
    </row>
    <row r="139" spans="1:7" x14ac:dyDescent="0.25">
      <c r="A139" s="1">
        <v>44927</v>
      </c>
      <c r="B139" t="s">
        <v>13</v>
      </c>
      <c r="C139" t="s">
        <v>78</v>
      </c>
      <c r="D139">
        <v>0</v>
      </c>
      <c r="E139">
        <v>0</v>
      </c>
      <c r="F139">
        <v>0</v>
      </c>
      <c r="G139" s="2">
        <v>6148909.5599999996</v>
      </c>
    </row>
    <row r="140" spans="1:7" x14ac:dyDescent="0.25">
      <c r="A140" s="1">
        <v>44927</v>
      </c>
      <c r="B140" t="s">
        <v>65</v>
      </c>
      <c r="C140" t="s">
        <v>22</v>
      </c>
      <c r="D140" s="2">
        <v>110456545</v>
      </c>
      <c r="E140" s="2">
        <v>29152558.34</v>
      </c>
      <c r="F140" s="2">
        <v>29148272.32</v>
      </c>
      <c r="G140" s="2">
        <v>4531.29</v>
      </c>
    </row>
    <row r="141" spans="1:7" x14ac:dyDescent="0.25">
      <c r="A141" s="1">
        <v>44927</v>
      </c>
      <c r="B141" t="s">
        <v>62</v>
      </c>
      <c r="C141" t="s">
        <v>64</v>
      </c>
      <c r="D141" s="2">
        <v>56776.34</v>
      </c>
      <c r="E141" s="2">
        <v>8146.64</v>
      </c>
      <c r="F141">
        <v>885.09</v>
      </c>
      <c r="G141" s="2">
        <v>3793051.53</v>
      </c>
    </row>
    <row r="142" spans="1:7" x14ac:dyDescent="0.25">
      <c r="A142" s="1">
        <v>44927</v>
      </c>
      <c r="B142" t="s">
        <v>54</v>
      </c>
      <c r="C142" t="s">
        <v>95</v>
      </c>
      <c r="D142" s="2">
        <v>879767.36</v>
      </c>
      <c r="E142">
        <v>0</v>
      </c>
      <c r="F142">
        <v>0</v>
      </c>
      <c r="G142" s="2">
        <v>251102.97</v>
      </c>
    </row>
    <row r="143" spans="1:7" x14ac:dyDescent="0.25">
      <c r="A143" s="1">
        <v>44927</v>
      </c>
      <c r="B143" t="s">
        <v>23</v>
      </c>
      <c r="C143" t="s">
        <v>96</v>
      </c>
      <c r="D143" s="2">
        <v>21496358.23</v>
      </c>
      <c r="E143" s="2">
        <v>920591.69</v>
      </c>
      <c r="F143" s="2">
        <v>899736.78</v>
      </c>
      <c r="G143" s="2">
        <v>4081798.21</v>
      </c>
    </row>
    <row r="144" spans="1:7" x14ac:dyDescent="0.25">
      <c r="A144" s="1">
        <v>44927</v>
      </c>
      <c r="B144" t="s">
        <v>62</v>
      </c>
      <c r="C144" t="s">
        <v>72</v>
      </c>
      <c r="D144" s="2">
        <v>5172963.58</v>
      </c>
      <c r="E144" s="2">
        <v>1702282.78</v>
      </c>
      <c r="F144" s="2">
        <v>28733.279999999999</v>
      </c>
      <c r="G144">
        <v>0</v>
      </c>
    </row>
    <row r="145" spans="1:7" x14ac:dyDescent="0.25">
      <c r="A145" s="1">
        <v>44927</v>
      </c>
      <c r="B145" t="s">
        <v>13</v>
      </c>
      <c r="C145" t="s">
        <v>72</v>
      </c>
      <c r="D145" s="2">
        <v>70897655.780000001</v>
      </c>
      <c r="E145" s="2">
        <v>4947018.97</v>
      </c>
      <c r="F145" s="2">
        <v>286393.84000000003</v>
      </c>
      <c r="G145">
        <v>0</v>
      </c>
    </row>
    <row r="146" spans="1:7" x14ac:dyDescent="0.25">
      <c r="A146" s="1">
        <v>44927</v>
      </c>
      <c r="B146" t="s">
        <v>36</v>
      </c>
      <c r="C146" t="s">
        <v>58</v>
      </c>
      <c r="D146" s="2">
        <v>11964.52</v>
      </c>
      <c r="E146" s="2">
        <v>11964.52</v>
      </c>
      <c r="F146" s="2">
        <v>11964.52</v>
      </c>
      <c r="G146" s="2">
        <v>18939638.93</v>
      </c>
    </row>
    <row r="147" spans="1:7" x14ac:dyDescent="0.25">
      <c r="A147" s="1">
        <v>44927</v>
      </c>
      <c r="B147" t="s">
        <v>31</v>
      </c>
      <c r="C147" t="s">
        <v>97</v>
      </c>
      <c r="D147" s="2">
        <v>66554016107</v>
      </c>
      <c r="E147" s="2">
        <v>3319073882.3899999</v>
      </c>
      <c r="F147" s="2">
        <v>3319073882.3899999</v>
      </c>
      <c r="G147" s="2">
        <v>4896862110.4200001</v>
      </c>
    </row>
    <row r="148" spans="1:7" x14ac:dyDescent="0.25">
      <c r="A148" s="1">
        <v>44927</v>
      </c>
      <c r="B148" t="s">
        <v>7</v>
      </c>
      <c r="C148" t="s">
        <v>55</v>
      </c>
      <c r="D148" s="2">
        <v>2962334.13</v>
      </c>
      <c r="E148">
        <v>0</v>
      </c>
      <c r="F148">
        <v>0</v>
      </c>
      <c r="G148" s="2">
        <v>2312600.73</v>
      </c>
    </row>
    <row r="149" spans="1:7" x14ac:dyDescent="0.25">
      <c r="A149" s="1">
        <v>44927</v>
      </c>
      <c r="B149" t="s">
        <v>52</v>
      </c>
      <c r="C149" t="s">
        <v>16</v>
      </c>
      <c r="D149">
        <v>0</v>
      </c>
      <c r="E149">
        <v>0</v>
      </c>
      <c r="F149">
        <v>0</v>
      </c>
      <c r="G149" s="2">
        <v>24060</v>
      </c>
    </row>
    <row r="150" spans="1:7" x14ac:dyDescent="0.25">
      <c r="A150" s="1">
        <v>44927</v>
      </c>
      <c r="B150" t="s">
        <v>91</v>
      </c>
      <c r="C150" t="s">
        <v>98</v>
      </c>
      <c r="D150">
        <v>0</v>
      </c>
      <c r="E150">
        <v>0</v>
      </c>
      <c r="F150">
        <v>0</v>
      </c>
      <c r="G150" s="2">
        <v>1091467.25</v>
      </c>
    </row>
    <row r="151" spans="1:7" x14ac:dyDescent="0.25">
      <c r="A151" s="1">
        <v>44927</v>
      </c>
      <c r="B151" t="s">
        <v>7</v>
      </c>
      <c r="C151" t="s">
        <v>97</v>
      </c>
      <c r="D151" s="2">
        <v>38241574565.099998</v>
      </c>
      <c r="E151" s="2">
        <v>1912078728.25</v>
      </c>
      <c r="F151" s="2">
        <v>1912078728.25</v>
      </c>
      <c r="G151" s="2">
        <v>4875965593.9200001</v>
      </c>
    </row>
    <row r="152" spans="1:7" x14ac:dyDescent="0.25">
      <c r="A152" s="1">
        <v>44927</v>
      </c>
      <c r="B152" t="s">
        <v>26</v>
      </c>
      <c r="C152" t="s">
        <v>22</v>
      </c>
      <c r="D152" s="2">
        <v>79731912</v>
      </c>
      <c r="E152" s="2">
        <v>5790364.5800000001</v>
      </c>
      <c r="F152" s="2">
        <v>5790364.5800000001</v>
      </c>
      <c r="G152" s="2">
        <v>5526.02</v>
      </c>
    </row>
    <row r="153" spans="1:7" x14ac:dyDescent="0.25">
      <c r="A153" s="1">
        <v>44927</v>
      </c>
      <c r="B153" t="s">
        <v>23</v>
      </c>
      <c r="C153" t="s">
        <v>75</v>
      </c>
      <c r="D153" s="2">
        <v>459273.23</v>
      </c>
      <c r="E153" s="2">
        <v>21421.040000000001</v>
      </c>
      <c r="F153" s="2">
        <v>20500.62</v>
      </c>
      <c r="G153" s="2">
        <v>775123.07</v>
      </c>
    </row>
    <row r="154" spans="1:7" x14ac:dyDescent="0.25">
      <c r="A154" s="1">
        <v>44927</v>
      </c>
      <c r="B154" t="s">
        <v>52</v>
      </c>
      <c r="C154" t="s">
        <v>46</v>
      </c>
      <c r="D154">
        <v>0</v>
      </c>
      <c r="E154">
        <v>0</v>
      </c>
      <c r="F154">
        <v>0</v>
      </c>
      <c r="G154" s="2">
        <v>64277924.990000002</v>
      </c>
    </row>
    <row r="155" spans="1:7" x14ac:dyDescent="0.25">
      <c r="A155" s="1">
        <v>44927</v>
      </c>
      <c r="B155" t="s">
        <v>13</v>
      </c>
      <c r="C155" t="s">
        <v>39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 s="1">
        <v>44927</v>
      </c>
      <c r="B156" t="s">
        <v>47</v>
      </c>
      <c r="C156" t="s">
        <v>72</v>
      </c>
      <c r="D156" s="2">
        <v>16034045.27</v>
      </c>
      <c r="E156" s="2">
        <v>1927285.86</v>
      </c>
      <c r="F156" s="2">
        <v>460545.05</v>
      </c>
      <c r="G156">
        <v>0</v>
      </c>
    </row>
    <row r="157" spans="1:7" x14ac:dyDescent="0.25">
      <c r="A157" s="1">
        <v>44927</v>
      </c>
      <c r="B157" t="s">
        <v>7</v>
      </c>
      <c r="C157" t="s">
        <v>94</v>
      </c>
      <c r="D157" s="2">
        <v>4000000</v>
      </c>
      <c r="E157">
        <v>0</v>
      </c>
      <c r="F157">
        <v>0</v>
      </c>
      <c r="G157" s="2">
        <v>43708738.939999998</v>
      </c>
    </row>
    <row r="158" spans="1:7" x14ac:dyDescent="0.25">
      <c r="A158" s="1">
        <v>44927</v>
      </c>
      <c r="B158" t="s">
        <v>33</v>
      </c>
      <c r="C158" t="s">
        <v>99</v>
      </c>
      <c r="D158" s="2">
        <v>1221901.29</v>
      </c>
      <c r="E158" s="2">
        <v>821025.03</v>
      </c>
      <c r="F158" s="2">
        <v>10541.74</v>
      </c>
      <c r="G158" s="2">
        <v>5373270.7199999997</v>
      </c>
    </row>
    <row r="159" spans="1:7" x14ac:dyDescent="0.25">
      <c r="A159" s="1">
        <v>44927</v>
      </c>
      <c r="B159" t="s">
        <v>33</v>
      </c>
      <c r="C159" t="s">
        <v>75</v>
      </c>
      <c r="D159" s="2">
        <v>25311532.75</v>
      </c>
      <c r="E159" s="2">
        <v>2456420.81</v>
      </c>
      <c r="F159" s="2">
        <v>2023558.01</v>
      </c>
      <c r="G159" s="2">
        <v>13061174.539999999</v>
      </c>
    </row>
    <row r="160" spans="1:7" x14ac:dyDescent="0.25">
      <c r="A160" s="1">
        <v>44927</v>
      </c>
      <c r="B160" t="s">
        <v>11</v>
      </c>
      <c r="C160" t="s">
        <v>72</v>
      </c>
      <c r="D160" s="2">
        <v>45867660.780000001</v>
      </c>
      <c r="E160" s="2">
        <v>41707703.850000001</v>
      </c>
      <c r="F160" s="2">
        <v>41173145.159999996</v>
      </c>
      <c r="G160">
        <v>0</v>
      </c>
    </row>
    <row r="161" spans="1:7" x14ac:dyDescent="0.25">
      <c r="A161" s="1">
        <v>44927</v>
      </c>
      <c r="B161" t="s">
        <v>43</v>
      </c>
      <c r="C161" t="s">
        <v>72</v>
      </c>
      <c r="D161" s="2">
        <v>20078006.239999998</v>
      </c>
      <c r="E161" s="2">
        <v>5364721.25</v>
      </c>
      <c r="F161" s="2">
        <v>2700851.24</v>
      </c>
      <c r="G161">
        <v>0</v>
      </c>
    </row>
    <row r="162" spans="1:7" x14ac:dyDescent="0.25">
      <c r="A162" s="1">
        <v>44927</v>
      </c>
      <c r="B162" t="s">
        <v>23</v>
      </c>
      <c r="C162" t="s">
        <v>55</v>
      </c>
      <c r="D162" s="2">
        <v>550299.68000000005</v>
      </c>
      <c r="E162" s="2">
        <v>30911.21</v>
      </c>
      <c r="F162" s="2">
        <v>19250</v>
      </c>
      <c r="G162" s="2">
        <v>14698604.57</v>
      </c>
    </row>
    <row r="163" spans="1:7" x14ac:dyDescent="0.25">
      <c r="A163" s="1">
        <v>44927</v>
      </c>
      <c r="B163" t="s">
        <v>52</v>
      </c>
      <c r="C163" t="s">
        <v>78</v>
      </c>
      <c r="D163">
        <v>0</v>
      </c>
      <c r="E163">
        <v>0</v>
      </c>
      <c r="F163">
        <v>0</v>
      </c>
      <c r="G163" s="2">
        <v>7226266.0099999998</v>
      </c>
    </row>
    <row r="164" spans="1:7" x14ac:dyDescent="0.25">
      <c r="A164" s="1">
        <v>44927</v>
      </c>
      <c r="B164" t="s">
        <v>91</v>
      </c>
      <c r="C164" t="s">
        <v>79</v>
      </c>
      <c r="D164" s="2">
        <v>38312330.07</v>
      </c>
      <c r="E164">
        <v>0</v>
      </c>
      <c r="F164">
        <v>0</v>
      </c>
      <c r="G164" s="2">
        <v>23960580.809999999</v>
      </c>
    </row>
    <row r="165" spans="1:7" x14ac:dyDescent="0.25">
      <c r="A165" s="1">
        <v>44927</v>
      </c>
      <c r="B165" t="s">
        <v>23</v>
      </c>
      <c r="C165" t="s">
        <v>72</v>
      </c>
      <c r="D165" s="2">
        <v>577063619.14999998</v>
      </c>
      <c r="E165" s="2">
        <v>51406043.509999998</v>
      </c>
      <c r="F165" s="2">
        <v>5283573</v>
      </c>
      <c r="G165">
        <v>0</v>
      </c>
    </row>
    <row r="166" spans="1:7" x14ac:dyDescent="0.25">
      <c r="A166" s="1">
        <v>44927</v>
      </c>
      <c r="B166" t="s">
        <v>54</v>
      </c>
      <c r="C166" t="s">
        <v>100</v>
      </c>
      <c r="D166" s="2">
        <v>1837483.39</v>
      </c>
      <c r="E166" s="2">
        <v>1474.39</v>
      </c>
      <c r="F166">
        <v>0</v>
      </c>
      <c r="G166" s="2">
        <v>176497.49</v>
      </c>
    </row>
    <row r="167" spans="1:7" x14ac:dyDescent="0.25">
      <c r="A167" s="1">
        <v>44927</v>
      </c>
      <c r="B167" t="s">
        <v>11</v>
      </c>
      <c r="C167" t="s">
        <v>39</v>
      </c>
      <c r="D167" s="2">
        <v>52683.81</v>
      </c>
      <c r="E167" s="2">
        <v>52683.81</v>
      </c>
      <c r="F167" s="2">
        <v>52683.81</v>
      </c>
      <c r="G167" s="2">
        <v>166156.07999999999</v>
      </c>
    </row>
    <row r="168" spans="1:7" x14ac:dyDescent="0.25">
      <c r="A168" s="1">
        <v>44927</v>
      </c>
      <c r="B168" t="s">
        <v>91</v>
      </c>
      <c r="C168" t="s">
        <v>75</v>
      </c>
      <c r="D168" s="2">
        <v>36569089.479999997</v>
      </c>
      <c r="E168" s="2">
        <v>1136729.21</v>
      </c>
      <c r="F168" s="2">
        <v>624523.99</v>
      </c>
      <c r="G168" s="2">
        <v>9652405.0500000007</v>
      </c>
    </row>
    <row r="169" spans="1:7" x14ac:dyDescent="0.25">
      <c r="A169" s="1">
        <v>44927</v>
      </c>
      <c r="B169" t="s">
        <v>54</v>
      </c>
      <c r="C169" t="s">
        <v>20</v>
      </c>
      <c r="D169" s="2">
        <v>6657284.3099999996</v>
      </c>
      <c r="E169" s="2">
        <v>190266.87</v>
      </c>
      <c r="F169" s="2">
        <v>117904.39</v>
      </c>
      <c r="G169" s="2">
        <v>1091535.46</v>
      </c>
    </row>
    <row r="170" spans="1:7" x14ac:dyDescent="0.25">
      <c r="A170" s="1">
        <v>44927</v>
      </c>
      <c r="B170" t="s">
        <v>33</v>
      </c>
      <c r="C170" t="s">
        <v>64</v>
      </c>
      <c r="D170" s="2">
        <v>3172261.47</v>
      </c>
      <c r="E170" s="2">
        <v>9013.4</v>
      </c>
      <c r="F170" s="2">
        <v>6422.02</v>
      </c>
      <c r="G170" s="2">
        <v>1026824.35</v>
      </c>
    </row>
    <row r="171" spans="1:7" x14ac:dyDescent="0.25">
      <c r="A171" s="1">
        <v>44927</v>
      </c>
      <c r="B171" t="s">
        <v>23</v>
      </c>
      <c r="C171" t="s">
        <v>77</v>
      </c>
      <c r="D171" s="2">
        <v>4636.2</v>
      </c>
      <c r="E171" s="2">
        <v>4636.2</v>
      </c>
      <c r="F171">
        <v>0</v>
      </c>
      <c r="G171" s="2">
        <v>9132482.4100000001</v>
      </c>
    </row>
    <row r="172" spans="1:7" x14ac:dyDescent="0.25">
      <c r="A172" s="1">
        <v>44927</v>
      </c>
      <c r="B172" t="s">
        <v>11</v>
      </c>
      <c r="C172" t="s">
        <v>78</v>
      </c>
      <c r="D172">
        <v>0</v>
      </c>
      <c r="E172">
        <v>0</v>
      </c>
      <c r="F172">
        <v>0</v>
      </c>
      <c r="G172" s="2">
        <v>624419.97</v>
      </c>
    </row>
    <row r="173" spans="1:7" x14ac:dyDescent="0.25">
      <c r="A173" s="1">
        <v>44927</v>
      </c>
      <c r="B173" t="s">
        <v>52</v>
      </c>
      <c r="C173" t="s">
        <v>101</v>
      </c>
      <c r="D173">
        <v>0</v>
      </c>
      <c r="E173">
        <v>0</v>
      </c>
      <c r="F173">
        <v>0</v>
      </c>
      <c r="G173" s="2">
        <v>104533407.47</v>
      </c>
    </row>
    <row r="174" spans="1:7" x14ac:dyDescent="0.25">
      <c r="A174" s="1">
        <v>44927</v>
      </c>
      <c r="B174" t="s">
        <v>69</v>
      </c>
      <c r="C174" t="s">
        <v>78</v>
      </c>
      <c r="D174">
        <v>0</v>
      </c>
      <c r="E174">
        <v>0</v>
      </c>
      <c r="F174">
        <v>0</v>
      </c>
      <c r="G174" s="2">
        <v>4075973.24</v>
      </c>
    </row>
    <row r="175" spans="1:7" x14ac:dyDescent="0.25">
      <c r="A175" s="1">
        <v>44927</v>
      </c>
      <c r="B175" t="s">
        <v>54</v>
      </c>
      <c r="C175" t="s">
        <v>102</v>
      </c>
      <c r="D175" s="2">
        <v>592107.64</v>
      </c>
      <c r="E175" s="2">
        <v>414884.39</v>
      </c>
      <c r="F175" s="2">
        <v>123352</v>
      </c>
      <c r="G175" s="2">
        <v>2580974.2200000002</v>
      </c>
    </row>
    <row r="176" spans="1:7" x14ac:dyDescent="0.25">
      <c r="A176" s="1">
        <v>44927</v>
      </c>
      <c r="B176" t="s">
        <v>69</v>
      </c>
      <c r="C176" t="s">
        <v>75</v>
      </c>
      <c r="D176" s="2">
        <v>41653399.039999999</v>
      </c>
      <c r="E176" s="2">
        <v>7355316.8899999997</v>
      </c>
      <c r="F176" s="2">
        <v>933602.82</v>
      </c>
      <c r="G176" s="2">
        <v>3327627.4</v>
      </c>
    </row>
    <row r="177" spans="1:7" x14ac:dyDescent="0.25">
      <c r="A177" s="1">
        <v>44927</v>
      </c>
      <c r="B177" t="s">
        <v>23</v>
      </c>
      <c r="C177" t="s">
        <v>103</v>
      </c>
      <c r="D177" s="2">
        <v>95499.82</v>
      </c>
      <c r="E177" s="2">
        <v>60559.62</v>
      </c>
      <c r="F177" s="2">
        <v>60559.62</v>
      </c>
      <c r="G177" s="2">
        <v>2500097.2400000002</v>
      </c>
    </row>
    <row r="178" spans="1:7" x14ac:dyDescent="0.25">
      <c r="A178" s="1">
        <v>44927</v>
      </c>
      <c r="B178" t="s">
        <v>33</v>
      </c>
      <c r="C178" t="s">
        <v>100</v>
      </c>
      <c r="D178" s="2">
        <v>9000</v>
      </c>
      <c r="E178">
        <v>0</v>
      </c>
      <c r="F178">
        <v>0</v>
      </c>
      <c r="G178" s="2">
        <v>632590.42000000004</v>
      </c>
    </row>
    <row r="179" spans="1:7" x14ac:dyDescent="0.25">
      <c r="A179" s="1">
        <v>44927</v>
      </c>
      <c r="B179" t="s">
        <v>17</v>
      </c>
      <c r="C179" t="s">
        <v>78</v>
      </c>
      <c r="D179">
        <v>0</v>
      </c>
      <c r="E179">
        <v>0</v>
      </c>
      <c r="F179">
        <v>0</v>
      </c>
      <c r="G179" s="2">
        <v>25816968.899999999</v>
      </c>
    </row>
    <row r="180" spans="1:7" x14ac:dyDescent="0.25">
      <c r="A180" s="1">
        <v>44927</v>
      </c>
      <c r="B180" t="s">
        <v>54</v>
      </c>
      <c r="C180" t="s">
        <v>101</v>
      </c>
      <c r="D180" s="2">
        <v>23800</v>
      </c>
      <c r="E180">
        <v>0</v>
      </c>
      <c r="F180">
        <v>0</v>
      </c>
      <c r="G180" s="2">
        <v>34121657.130000003</v>
      </c>
    </row>
    <row r="181" spans="1:7" x14ac:dyDescent="0.25">
      <c r="A181" s="1">
        <v>44927</v>
      </c>
      <c r="B181" t="s">
        <v>28</v>
      </c>
      <c r="C181" t="s">
        <v>25</v>
      </c>
      <c r="D181">
        <v>0</v>
      </c>
      <c r="E181">
        <v>0</v>
      </c>
      <c r="F181">
        <v>0</v>
      </c>
      <c r="G181" s="2">
        <v>1857521.81</v>
      </c>
    </row>
    <row r="182" spans="1:7" x14ac:dyDescent="0.25">
      <c r="A182" s="1">
        <v>44927</v>
      </c>
      <c r="B182" t="s">
        <v>13</v>
      </c>
      <c r="C182" t="s">
        <v>59</v>
      </c>
      <c r="D182">
        <v>0</v>
      </c>
      <c r="E182">
        <v>0</v>
      </c>
      <c r="F182">
        <v>0</v>
      </c>
      <c r="G182" s="2">
        <v>28497.31</v>
      </c>
    </row>
    <row r="183" spans="1:7" x14ac:dyDescent="0.25">
      <c r="A183" s="1">
        <v>44927</v>
      </c>
      <c r="B183" t="s">
        <v>43</v>
      </c>
      <c r="C183" t="s">
        <v>78</v>
      </c>
      <c r="D183">
        <v>0</v>
      </c>
      <c r="E183">
        <v>0</v>
      </c>
      <c r="F183">
        <v>0</v>
      </c>
      <c r="G183" s="2">
        <v>2774898.04</v>
      </c>
    </row>
    <row r="184" spans="1:7" x14ac:dyDescent="0.25">
      <c r="A184" s="1">
        <v>44927</v>
      </c>
      <c r="B184" t="s">
        <v>91</v>
      </c>
      <c r="C184" t="s">
        <v>72</v>
      </c>
      <c r="D184" s="2">
        <v>66495648.090000004</v>
      </c>
      <c r="E184" s="2">
        <v>6013865.5199999996</v>
      </c>
      <c r="F184" s="2">
        <v>373816.56</v>
      </c>
      <c r="G184">
        <v>0</v>
      </c>
    </row>
    <row r="185" spans="1:7" x14ac:dyDescent="0.25">
      <c r="A185" s="1">
        <v>44927</v>
      </c>
      <c r="B185" t="s">
        <v>54</v>
      </c>
      <c r="C185" t="s">
        <v>10</v>
      </c>
      <c r="D185" s="2">
        <v>231000338.11000001</v>
      </c>
      <c r="E185" s="2">
        <v>8026455.8399999999</v>
      </c>
      <c r="F185" s="2">
        <v>8015721.2000000002</v>
      </c>
      <c r="G185" s="2">
        <v>17255320.100000001</v>
      </c>
    </row>
    <row r="186" spans="1:7" x14ac:dyDescent="0.25">
      <c r="A186" s="1">
        <v>44927</v>
      </c>
      <c r="B186" t="s">
        <v>43</v>
      </c>
      <c r="C186" t="s">
        <v>14</v>
      </c>
      <c r="D186" s="2">
        <v>10655.18</v>
      </c>
      <c r="E186" s="2">
        <v>4427.59</v>
      </c>
      <c r="F186">
        <v>800</v>
      </c>
      <c r="G186" s="2">
        <v>705494.12</v>
      </c>
    </row>
    <row r="187" spans="1:7" x14ac:dyDescent="0.25">
      <c r="A187" s="1">
        <v>44927</v>
      </c>
      <c r="B187" t="s">
        <v>104</v>
      </c>
      <c r="C187" t="s">
        <v>74</v>
      </c>
      <c r="D187">
        <v>0</v>
      </c>
      <c r="E187">
        <v>0</v>
      </c>
      <c r="F187">
        <v>0</v>
      </c>
      <c r="G187" s="2">
        <v>51310253.789999999</v>
      </c>
    </row>
    <row r="188" spans="1:7" x14ac:dyDescent="0.25">
      <c r="A188" s="1">
        <v>44927</v>
      </c>
      <c r="B188" t="s">
        <v>69</v>
      </c>
      <c r="C188" t="s">
        <v>105</v>
      </c>
      <c r="D188">
        <v>0</v>
      </c>
      <c r="E188">
        <v>0</v>
      </c>
      <c r="F188">
        <v>0</v>
      </c>
      <c r="G188" s="2">
        <v>167682.21</v>
      </c>
    </row>
    <row r="189" spans="1:7" x14ac:dyDescent="0.25">
      <c r="A189" s="1">
        <v>44927</v>
      </c>
      <c r="B189" t="s">
        <v>23</v>
      </c>
      <c r="C189" t="s">
        <v>14</v>
      </c>
      <c r="D189" s="2">
        <v>30437333.75</v>
      </c>
      <c r="E189" s="2">
        <v>874712.33</v>
      </c>
      <c r="F189" s="2">
        <v>846624.11</v>
      </c>
      <c r="G189" s="2">
        <v>18421909.100000001</v>
      </c>
    </row>
    <row r="190" spans="1:7" x14ac:dyDescent="0.25">
      <c r="A190" s="1">
        <v>44927</v>
      </c>
      <c r="B190" t="s">
        <v>9</v>
      </c>
      <c r="C190" t="s">
        <v>106</v>
      </c>
      <c r="D190" s="2">
        <v>26646546.5</v>
      </c>
      <c r="E190" s="2">
        <v>1656042.54</v>
      </c>
      <c r="F190" s="2">
        <v>1182626.01</v>
      </c>
      <c r="G190" s="2">
        <v>98627357.599999994</v>
      </c>
    </row>
    <row r="191" spans="1:7" x14ac:dyDescent="0.25">
      <c r="A191" s="1">
        <v>44927</v>
      </c>
      <c r="B191" t="s">
        <v>15</v>
      </c>
      <c r="C191" t="s">
        <v>103</v>
      </c>
      <c r="D191" s="2">
        <v>8094685.2800000003</v>
      </c>
      <c r="E191" s="2">
        <v>3343389.56</v>
      </c>
      <c r="F191" s="2">
        <v>2832423.91</v>
      </c>
      <c r="G191" s="2">
        <v>2839303.06</v>
      </c>
    </row>
    <row r="192" spans="1:7" x14ac:dyDescent="0.25">
      <c r="A192" s="1">
        <v>44927</v>
      </c>
      <c r="B192" t="s">
        <v>33</v>
      </c>
      <c r="C192" t="s">
        <v>12</v>
      </c>
      <c r="D192" s="2">
        <v>15243.2</v>
      </c>
      <c r="E192">
        <v>0</v>
      </c>
      <c r="F192">
        <v>0</v>
      </c>
      <c r="G192" s="2">
        <v>608289.25</v>
      </c>
    </row>
    <row r="193" spans="1:7" x14ac:dyDescent="0.25">
      <c r="A193" s="1">
        <v>44927</v>
      </c>
      <c r="B193" t="s">
        <v>54</v>
      </c>
      <c r="C193" t="s">
        <v>16</v>
      </c>
      <c r="D193" s="2">
        <v>120532.4</v>
      </c>
      <c r="E193" s="2">
        <v>1744.76</v>
      </c>
      <c r="F193" s="2">
        <v>1744.76</v>
      </c>
      <c r="G193" s="2">
        <v>76111.53</v>
      </c>
    </row>
    <row r="194" spans="1:7" x14ac:dyDescent="0.25">
      <c r="A194" s="1">
        <v>44927</v>
      </c>
      <c r="B194" t="s">
        <v>62</v>
      </c>
      <c r="C194" t="s">
        <v>107</v>
      </c>
      <c r="D194" s="2">
        <v>4592094.7699999996</v>
      </c>
      <c r="E194" s="2">
        <v>342569.48</v>
      </c>
      <c r="F194" s="2">
        <v>4847.3900000000003</v>
      </c>
      <c r="G194" s="2">
        <v>12379159.699999999</v>
      </c>
    </row>
    <row r="195" spans="1:7" x14ac:dyDescent="0.25">
      <c r="A195" s="1">
        <v>44927</v>
      </c>
      <c r="B195" t="s">
        <v>65</v>
      </c>
      <c r="C195" t="s">
        <v>72</v>
      </c>
      <c r="D195" s="2">
        <v>1966828805.3099999</v>
      </c>
      <c r="E195" s="2">
        <v>1949453263.48</v>
      </c>
      <c r="F195" s="2">
        <v>1943136542.5899999</v>
      </c>
      <c r="G195" s="2">
        <v>1928979479.76</v>
      </c>
    </row>
    <row r="196" spans="1:7" x14ac:dyDescent="0.25">
      <c r="A196" s="1">
        <v>44927</v>
      </c>
      <c r="B196" t="s">
        <v>26</v>
      </c>
      <c r="C196" t="s">
        <v>18</v>
      </c>
      <c r="D196" s="2">
        <v>315115</v>
      </c>
      <c r="E196" s="2">
        <v>53554.54</v>
      </c>
      <c r="F196" s="2">
        <v>13116.99</v>
      </c>
      <c r="G196" s="2">
        <v>37533585.789999999</v>
      </c>
    </row>
    <row r="197" spans="1:7" x14ac:dyDescent="0.25">
      <c r="A197" s="1">
        <v>44927</v>
      </c>
      <c r="B197" t="s">
        <v>54</v>
      </c>
      <c r="C197" t="s">
        <v>108</v>
      </c>
      <c r="D197" s="2">
        <v>2579800</v>
      </c>
      <c r="E197" s="2">
        <v>20785.04</v>
      </c>
      <c r="F197" s="2">
        <v>20785.04</v>
      </c>
      <c r="G197" s="2">
        <v>101886.98</v>
      </c>
    </row>
    <row r="198" spans="1:7" x14ac:dyDescent="0.25">
      <c r="A198" s="1">
        <v>44927</v>
      </c>
      <c r="B198" t="s">
        <v>104</v>
      </c>
      <c r="C198" t="s">
        <v>108</v>
      </c>
      <c r="D198" s="2">
        <v>1164468.21</v>
      </c>
      <c r="E198" s="2">
        <v>153533.22</v>
      </c>
      <c r="F198" s="2">
        <v>153533.22</v>
      </c>
      <c r="G198" s="2">
        <v>13177959.640000001</v>
      </c>
    </row>
    <row r="199" spans="1:7" x14ac:dyDescent="0.25">
      <c r="A199" s="1">
        <v>44927</v>
      </c>
      <c r="B199" t="s">
        <v>15</v>
      </c>
      <c r="C199" t="s">
        <v>79</v>
      </c>
      <c r="D199" s="2">
        <v>367956.15</v>
      </c>
      <c r="E199" s="2">
        <v>5408.82</v>
      </c>
      <c r="F199">
        <v>0</v>
      </c>
      <c r="G199" s="2">
        <v>48199.43</v>
      </c>
    </row>
    <row r="200" spans="1:7" x14ac:dyDescent="0.25">
      <c r="A200" s="1">
        <v>44927</v>
      </c>
      <c r="B200" t="s">
        <v>13</v>
      </c>
      <c r="C200" t="s">
        <v>55</v>
      </c>
      <c r="D200" s="2">
        <v>72760.039999999994</v>
      </c>
      <c r="E200" s="2">
        <v>8808.0400000000009</v>
      </c>
      <c r="F200" s="2">
        <v>3118</v>
      </c>
      <c r="G200" s="2">
        <v>1571643.83</v>
      </c>
    </row>
    <row r="201" spans="1:7" x14ac:dyDescent="0.25">
      <c r="A201" s="1">
        <v>44927</v>
      </c>
      <c r="B201" t="s">
        <v>7</v>
      </c>
      <c r="C201" t="s">
        <v>58</v>
      </c>
      <c r="D201">
        <v>0</v>
      </c>
      <c r="E201">
        <v>0</v>
      </c>
      <c r="F201">
        <v>0</v>
      </c>
      <c r="G201" s="2">
        <v>134434.76</v>
      </c>
    </row>
    <row r="202" spans="1:7" x14ac:dyDescent="0.25">
      <c r="A202" s="1">
        <v>44927</v>
      </c>
      <c r="B202" t="s">
        <v>91</v>
      </c>
      <c r="C202" t="s">
        <v>78</v>
      </c>
      <c r="D202">
        <v>0</v>
      </c>
      <c r="E202">
        <v>0</v>
      </c>
      <c r="F202">
        <v>0</v>
      </c>
      <c r="G202" s="2">
        <v>6004988.7599999998</v>
      </c>
    </row>
    <row r="203" spans="1:7" x14ac:dyDescent="0.25">
      <c r="A203" s="1">
        <v>44927</v>
      </c>
      <c r="B203" t="s">
        <v>9</v>
      </c>
      <c r="C203" t="s">
        <v>78</v>
      </c>
      <c r="D203">
        <v>0</v>
      </c>
      <c r="E203">
        <v>0</v>
      </c>
      <c r="F203">
        <v>0</v>
      </c>
      <c r="G203" s="2">
        <v>31518993.120000001</v>
      </c>
    </row>
    <row r="204" spans="1:7" x14ac:dyDescent="0.25">
      <c r="A204" s="1">
        <v>44927</v>
      </c>
      <c r="B204" t="s">
        <v>91</v>
      </c>
      <c r="C204" t="s">
        <v>109</v>
      </c>
      <c r="D204" s="2">
        <v>1849123.12</v>
      </c>
      <c r="E204">
        <v>0</v>
      </c>
      <c r="F204">
        <v>0</v>
      </c>
      <c r="G204" s="2">
        <v>18915495.890000001</v>
      </c>
    </row>
    <row r="205" spans="1:7" x14ac:dyDescent="0.25">
      <c r="A205" s="1">
        <v>44927</v>
      </c>
      <c r="B205" t="s">
        <v>23</v>
      </c>
      <c r="C205" t="s">
        <v>110</v>
      </c>
      <c r="D205" s="2">
        <v>4515730638.3199997</v>
      </c>
      <c r="E205" s="2">
        <v>359931164.00999999</v>
      </c>
      <c r="F205" s="2">
        <v>265805078.27000001</v>
      </c>
      <c r="G205" s="2">
        <v>645573646.36000001</v>
      </c>
    </row>
    <row r="206" spans="1:7" x14ac:dyDescent="0.25">
      <c r="A206" s="1">
        <v>44927</v>
      </c>
      <c r="B206" t="s">
        <v>54</v>
      </c>
      <c r="C206" t="s">
        <v>71</v>
      </c>
      <c r="D206" s="2">
        <v>2964213.79</v>
      </c>
      <c r="E206" s="2">
        <v>71335.820000000007</v>
      </c>
      <c r="F206" s="2">
        <v>71335.820000000007</v>
      </c>
      <c r="G206" s="2">
        <v>352471.14</v>
      </c>
    </row>
    <row r="207" spans="1:7" x14ac:dyDescent="0.25">
      <c r="A207" s="1">
        <v>44927</v>
      </c>
      <c r="B207" t="s">
        <v>91</v>
      </c>
      <c r="C207" t="s">
        <v>111</v>
      </c>
      <c r="D207" s="2">
        <v>445776.34</v>
      </c>
      <c r="E207">
        <v>63.84</v>
      </c>
      <c r="F207">
        <v>0</v>
      </c>
      <c r="G207" s="2">
        <v>3123892.51</v>
      </c>
    </row>
    <row r="208" spans="1:7" x14ac:dyDescent="0.25">
      <c r="A208" s="1">
        <v>44927</v>
      </c>
      <c r="B208" t="s">
        <v>13</v>
      </c>
      <c r="C208" t="s">
        <v>75</v>
      </c>
      <c r="D208" s="2">
        <v>17325.259999999998</v>
      </c>
      <c r="E208" s="2">
        <v>2325.2600000000002</v>
      </c>
      <c r="F208" s="2">
        <v>2325.2600000000002</v>
      </c>
      <c r="G208" s="2">
        <v>370887.15</v>
      </c>
    </row>
    <row r="209" spans="1:7" x14ac:dyDescent="0.25">
      <c r="A209" s="1">
        <v>44927</v>
      </c>
      <c r="B209" t="s">
        <v>36</v>
      </c>
      <c r="C209" t="s">
        <v>70</v>
      </c>
      <c r="D209" s="2">
        <v>37854720073</v>
      </c>
      <c r="E209" s="2">
        <v>3124118406</v>
      </c>
      <c r="F209" s="2">
        <v>1533112211.8499999</v>
      </c>
      <c r="G209" s="2">
        <v>1520802751.9200001</v>
      </c>
    </row>
    <row r="210" spans="1:7" x14ac:dyDescent="0.25">
      <c r="A210" s="1">
        <v>44927</v>
      </c>
      <c r="B210" t="s">
        <v>43</v>
      </c>
      <c r="C210" t="s">
        <v>75</v>
      </c>
      <c r="D210" s="2">
        <v>5005486.41</v>
      </c>
      <c r="E210" s="2">
        <v>71322.44</v>
      </c>
      <c r="F210" s="2">
        <v>70352.570000000007</v>
      </c>
      <c r="G210" s="2">
        <v>3426244.55</v>
      </c>
    </row>
    <row r="211" spans="1:7" x14ac:dyDescent="0.25">
      <c r="A211" s="1">
        <v>44927</v>
      </c>
      <c r="B211" t="s">
        <v>43</v>
      </c>
      <c r="C211" t="s">
        <v>112</v>
      </c>
      <c r="D211" s="2">
        <v>339956.25</v>
      </c>
      <c r="E211" s="2">
        <v>90160.48</v>
      </c>
      <c r="F211" s="2">
        <v>53645.93</v>
      </c>
      <c r="G211">
        <v>0</v>
      </c>
    </row>
    <row r="212" spans="1:7" x14ac:dyDescent="0.25">
      <c r="A212" s="1">
        <v>44927</v>
      </c>
      <c r="B212" t="s">
        <v>91</v>
      </c>
      <c r="C212" t="s">
        <v>57</v>
      </c>
      <c r="D212" s="2">
        <v>721214119.04999995</v>
      </c>
      <c r="E212" s="2">
        <v>102120438.41</v>
      </c>
      <c r="F212" s="2">
        <v>17767702.780000001</v>
      </c>
      <c r="G212" s="2">
        <v>148972662.40000001</v>
      </c>
    </row>
    <row r="213" spans="1:7" x14ac:dyDescent="0.25">
      <c r="A213" s="1">
        <v>44927</v>
      </c>
      <c r="B213" t="s">
        <v>33</v>
      </c>
      <c r="C213" t="s">
        <v>66</v>
      </c>
      <c r="D213" s="2">
        <v>1648150.39</v>
      </c>
      <c r="E213" s="2">
        <v>546640.41</v>
      </c>
      <c r="F213" s="2">
        <v>462513.54</v>
      </c>
      <c r="G213" s="2">
        <v>2655083.94</v>
      </c>
    </row>
    <row r="214" spans="1:7" x14ac:dyDescent="0.25">
      <c r="A214" s="1">
        <v>44927</v>
      </c>
      <c r="B214" t="s">
        <v>36</v>
      </c>
      <c r="C214" t="s">
        <v>101</v>
      </c>
      <c r="D214" s="2">
        <v>13325031511.4</v>
      </c>
      <c r="E214" s="2">
        <v>13252580000</v>
      </c>
      <c r="F214" s="2">
        <v>13252580000</v>
      </c>
      <c r="G214" s="2">
        <v>65150679.810000002</v>
      </c>
    </row>
    <row r="215" spans="1:7" x14ac:dyDescent="0.25">
      <c r="A215" s="1">
        <v>44927</v>
      </c>
      <c r="B215" t="s">
        <v>65</v>
      </c>
      <c r="C215" t="s">
        <v>75</v>
      </c>
      <c r="D215" s="2">
        <v>3491373.02</v>
      </c>
      <c r="E215" s="2">
        <v>723389.61</v>
      </c>
      <c r="F215" s="2">
        <v>693925.63</v>
      </c>
      <c r="G215" s="2">
        <v>1207508.81</v>
      </c>
    </row>
    <row r="216" spans="1:7" x14ac:dyDescent="0.25">
      <c r="A216" s="1">
        <v>44927</v>
      </c>
      <c r="B216" t="s">
        <v>33</v>
      </c>
      <c r="C216" t="s">
        <v>72</v>
      </c>
      <c r="D216" s="2">
        <v>396152781.49000001</v>
      </c>
      <c r="E216" s="2">
        <v>70328552.140000001</v>
      </c>
      <c r="F216" s="2">
        <v>3750420.63</v>
      </c>
      <c r="G216">
        <v>0</v>
      </c>
    </row>
    <row r="217" spans="1:7" x14ac:dyDescent="0.25">
      <c r="A217" s="1">
        <v>44927</v>
      </c>
      <c r="B217" t="s">
        <v>54</v>
      </c>
      <c r="C217" t="s">
        <v>68</v>
      </c>
      <c r="D217">
        <v>0</v>
      </c>
      <c r="E217">
        <v>0</v>
      </c>
      <c r="F217">
        <v>0</v>
      </c>
      <c r="G217" s="2">
        <v>1462539.49</v>
      </c>
    </row>
    <row r="218" spans="1:7" x14ac:dyDescent="0.25">
      <c r="A218" s="1">
        <v>44927</v>
      </c>
      <c r="B218" t="s">
        <v>17</v>
      </c>
      <c r="C218" t="s">
        <v>113</v>
      </c>
      <c r="D218" s="2">
        <v>5877253115.9099998</v>
      </c>
      <c r="E218" s="2">
        <v>7516286.4699999997</v>
      </c>
      <c r="F218" s="2">
        <v>1423443.41</v>
      </c>
      <c r="G218" s="2">
        <v>924132909.82000005</v>
      </c>
    </row>
    <row r="219" spans="1:7" x14ac:dyDescent="0.25">
      <c r="A219" s="1">
        <v>44927</v>
      </c>
      <c r="B219" t="s">
        <v>37</v>
      </c>
      <c r="C219" t="s">
        <v>75</v>
      </c>
      <c r="D219" s="2">
        <v>3002044.08</v>
      </c>
      <c r="E219" s="2">
        <v>285052.28000000003</v>
      </c>
      <c r="F219" s="2">
        <v>236558.91</v>
      </c>
      <c r="G219" s="2">
        <v>2263014.75</v>
      </c>
    </row>
    <row r="220" spans="1:7" x14ac:dyDescent="0.25">
      <c r="A220" s="1">
        <v>44927</v>
      </c>
      <c r="B220" t="s">
        <v>15</v>
      </c>
      <c r="C220" t="s">
        <v>12</v>
      </c>
      <c r="D220" s="2">
        <v>561600</v>
      </c>
      <c r="E220" s="2">
        <v>46595.14</v>
      </c>
      <c r="F220" s="2">
        <v>4261.3599999999997</v>
      </c>
      <c r="G220" s="2">
        <v>86516.67</v>
      </c>
    </row>
    <row r="221" spans="1:7" x14ac:dyDescent="0.25">
      <c r="A221" s="1">
        <v>44927</v>
      </c>
      <c r="B221" t="s">
        <v>36</v>
      </c>
      <c r="C221" t="s">
        <v>38</v>
      </c>
      <c r="D221" s="2">
        <v>46466725460</v>
      </c>
      <c r="E221" s="2">
        <v>3838161284.3600001</v>
      </c>
      <c r="F221" s="2">
        <v>1889760912.8299999</v>
      </c>
      <c r="G221" s="2">
        <v>1845422565.9300001</v>
      </c>
    </row>
    <row r="222" spans="1:7" x14ac:dyDescent="0.25">
      <c r="A222" s="1">
        <v>44927</v>
      </c>
      <c r="B222" t="s">
        <v>54</v>
      </c>
      <c r="C222" t="s">
        <v>34</v>
      </c>
      <c r="D222">
        <v>0</v>
      </c>
      <c r="E222">
        <v>0</v>
      </c>
      <c r="F222">
        <v>0</v>
      </c>
      <c r="G222" s="2">
        <v>67574.91</v>
      </c>
    </row>
    <row r="223" spans="1:7" x14ac:dyDescent="0.25">
      <c r="A223" s="1">
        <v>44927</v>
      </c>
      <c r="B223" t="s">
        <v>9</v>
      </c>
      <c r="C223" t="s">
        <v>72</v>
      </c>
      <c r="D223" s="2">
        <v>298857040.06</v>
      </c>
      <c r="E223" s="2">
        <v>29066255</v>
      </c>
      <c r="F223" s="2">
        <v>3475720.65</v>
      </c>
      <c r="G223">
        <v>0</v>
      </c>
    </row>
    <row r="224" spans="1:7" x14ac:dyDescent="0.25">
      <c r="A224" s="1">
        <v>44927</v>
      </c>
      <c r="B224" t="s">
        <v>21</v>
      </c>
      <c r="C224" t="s">
        <v>84</v>
      </c>
      <c r="D224">
        <v>0</v>
      </c>
      <c r="E224">
        <v>0</v>
      </c>
      <c r="F224">
        <v>0</v>
      </c>
      <c r="G224" s="2">
        <v>91741918.230000004</v>
      </c>
    </row>
    <row r="225" spans="1:7" x14ac:dyDescent="0.25">
      <c r="A225" s="1">
        <v>44927</v>
      </c>
      <c r="B225" t="s">
        <v>91</v>
      </c>
      <c r="C225" t="s">
        <v>114</v>
      </c>
      <c r="D225" s="2">
        <v>194814999.96000001</v>
      </c>
      <c r="E225">
        <v>0</v>
      </c>
      <c r="F225">
        <v>0</v>
      </c>
      <c r="G225" s="2">
        <v>511825149.82999998</v>
      </c>
    </row>
    <row r="226" spans="1:7" x14ac:dyDescent="0.25">
      <c r="A226" s="1">
        <v>44927</v>
      </c>
      <c r="B226" t="s">
        <v>47</v>
      </c>
      <c r="C226" t="s">
        <v>57</v>
      </c>
      <c r="D226" s="2">
        <v>473408635.30000001</v>
      </c>
      <c r="E226" s="2">
        <v>63966468.270000003</v>
      </c>
      <c r="F226" s="2">
        <v>8681787.4000000004</v>
      </c>
      <c r="G226" s="2">
        <v>64662672.530000001</v>
      </c>
    </row>
    <row r="227" spans="1:7" x14ac:dyDescent="0.25">
      <c r="A227" s="1">
        <v>44927</v>
      </c>
      <c r="B227" t="s">
        <v>33</v>
      </c>
      <c r="C227" t="s">
        <v>22</v>
      </c>
      <c r="D227" s="2">
        <v>1314809449.8099999</v>
      </c>
      <c r="E227" s="2">
        <v>143845287.15000001</v>
      </c>
      <c r="F227" s="2">
        <v>124483939.68000001</v>
      </c>
      <c r="G227" s="2">
        <v>9656568.8000000007</v>
      </c>
    </row>
    <row r="228" spans="1:7" x14ac:dyDescent="0.25">
      <c r="A228" s="1">
        <v>44927</v>
      </c>
      <c r="B228" t="s">
        <v>23</v>
      </c>
      <c r="C228" t="s">
        <v>115</v>
      </c>
      <c r="D228" s="2">
        <v>264201177.52000001</v>
      </c>
      <c r="E228" s="2">
        <v>180596410.65000001</v>
      </c>
      <c r="F228" s="2">
        <v>180172442.09999999</v>
      </c>
      <c r="G228" s="2">
        <v>2239346914.79</v>
      </c>
    </row>
    <row r="229" spans="1:7" x14ac:dyDescent="0.25">
      <c r="A229" s="1">
        <v>44927</v>
      </c>
      <c r="B229" t="s">
        <v>23</v>
      </c>
      <c r="C229" t="s">
        <v>59</v>
      </c>
      <c r="D229">
        <v>0</v>
      </c>
      <c r="E229">
        <v>0</v>
      </c>
      <c r="F229">
        <v>0</v>
      </c>
      <c r="G229" s="2">
        <v>1683623.99</v>
      </c>
    </row>
    <row r="230" spans="1:7" x14ac:dyDescent="0.25">
      <c r="A230" s="1">
        <v>44927</v>
      </c>
      <c r="B230" t="s">
        <v>28</v>
      </c>
      <c r="C230" t="s">
        <v>99</v>
      </c>
      <c r="D230" s="2">
        <v>4178412.05</v>
      </c>
      <c r="E230" s="2">
        <v>1651576</v>
      </c>
      <c r="F230" s="2">
        <v>1444510.5</v>
      </c>
      <c r="G230" s="2">
        <v>454200.05</v>
      </c>
    </row>
    <row r="231" spans="1:7" x14ac:dyDescent="0.25">
      <c r="A231" s="1">
        <v>44927</v>
      </c>
      <c r="B231" t="s">
        <v>62</v>
      </c>
      <c r="C231" t="s">
        <v>22</v>
      </c>
      <c r="D231" s="2">
        <v>10951062.189999999</v>
      </c>
      <c r="E231" s="2">
        <v>3376182.66</v>
      </c>
      <c r="F231" s="2">
        <v>3376182.66</v>
      </c>
      <c r="G231">
        <v>0</v>
      </c>
    </row>
    <row r="232" spans="1:7" x14ac:dyDescent="0.25">
      <c r="A232" s="1">
        <v>44927</v>
      </c>
      <c r="B232" t="s">
        <v>7</v>
      </c>
      <c r="C232" t="s">
        <v>22</v>
      </c>
      <c r="D232" s="2">
        <v>7192466658.6599998</v>
      </c>
      <c r="E232" s="2">
        <v>604975652.63</v>
      </c>
      <c r="F232" s="2">
        <v>601500810.21000004</v>
      </c>
      <c r="G232" s="2">
        <v>6163950.9800000004</v>
      </c>
    </row>
    <row r="233" spans="1:7" x14ac:dyDescent="0.25">
      <c r="A233" s="1">
        <v>44927</v>
      </c>
      <c r="B233" t="s">
        <v>54</v>
      </c>
      <c r="C233" t="s">
        <v>116</v>
      </c>
      <c r="D233" s="2">
        <v>47124898.960000001</v>
      </c>
      <c r="E233" s="2">
        <v>7609493.1900000004</v>
      </c>
      <c r="F233" s="2">
        <v>5966484.9199999999</v>
      </c>
      <c r="G233" s="2">
        <v>200907735.72999999</v>
      </c>
    </row>
    <row r="234" spans="1:7" x14ac:dyDescent="0.25">
      <c r="A234" s="1">
        <v>44927</v>
      </c>
      <c r="B234" t="s">
        <v>37</v>
      </c>
      <c r="C234" t="s">
        <v>117</v>
      </c>
      <c r="D234" s="2">
        <v>1264279.8600000001</v>
      </c>
      <c r="E234" s="2">
        <v>44076.49</v>
      </c>
      <c r="F234" s="2">
        <v>37442.07</v>
      </c>
      <c r="G234" s="2">
        <v>2088026.27</v>
      </c>
    </row>
    <row r="235" spans="1:7" x14ac:dyDescent="0.25">
      <c r="A235" s="1">
        <v>44927</v>
      </c>
      <c r="B235" t="s">
        <v>52</v>
      </c>
      <c r="C235" t="s">
        <v>118</v>
      </c>
      <c r="D235" s="2">
        <v>3936613.14</v>
      </c>
      <c r="E235" s="2">
        <v>3078975.29</v>
      </c>
      <c r="F235" s="2">
        <v>341259.1</v>
      </c>
      <c r="G235" s="2">
        <v>7193491.5899999999</v>
      </c>
    </row>
    <row r="236" spans="1:7" x14ac:dyDescent="0.25">
      <c r="A236" s="1">
        <v>44927</v>
      </c>
      <c r="B236" t="s">
        <v>33</v>
      </c>
      <c r="C236" t="s">
        <v>119</v>
      </c>
      <c r="D236" s="2">
        <v>4424884.3</v>
      </c>
      <c r="E236" s="2">
        <v>1504052.5</v>
      </c>
      <c r="F236" s="2">
        <v>1238374.56</v>
      </c>
      <c r="G236" s="2">
        <v>3464885.05</v>
      </c>
    </row>
    <row r="237" spans="1:7" x14ac:dyDescent="0.25">
      <c r="A237" s="1">
        <v>44927</v>
      </c>
      <c r="B237" t="s">
        <v>54</v>
      </c>
      <c r="C237" t="s">
        <v>120</v>
      </c>
      <c r="D237" s="2">
        <v>139166196.31999999</v>
      </c>
      <c r="E237" s="2">
        <v>52950250.469999999</v>
      </c>
      <c r="F237" s="2">
        <v>1256406.6100000001</v>
      </c>
      <c r="G237" s="2">
        <v>133210150.87</v>
      </c>
    </row>
    <row r="238" spans="1:7" x14ac:dyDescent="0.25">
      <c r="A238" s="1">
        <v>44927</v>
      </c>
      <c r="B238" t="s">
        <v>7</v>
      </c>
      <c r="C238" t="s">
        <v>78</v>
      </c>
      <c r="D238">
        <v>0</v>
      </c>
      <c r="E238">
        <v>0</v>
      </c>
      <c r="F238">
        <v>0</v>
      </c>
      <c r="G238" s="2">
        <v>218716161.06</v>
      </c>
    </row>
    <row r="239" spans="1:7" x14ac:dyDescent="0.25">
      <c r="A239" s="1">
        <v>44927</v>
      </c>
      <c r="B239" t="s">
        <v>23</v>
      </c>
      <c r="C239" t="s">
        <v>12</v>
      </c>
      <c r="D239" s="2">
        <v>130448525.70999999</v>
      </c>
      <c r="E239" s="2">
        <v>18626719.66</v>
      </c>
      <c r="F239" s="2">
        <v>6293659.6299999999</v>
      </c>
      <c r="G239" s="2">
        <v>38282939.68</v>
      </c>
    </row>
    <row r="240" spans="1:7" x14ac:dyDescent="0.25">
      <c r="A240" s="1">
        <v>44927</v>
      </c>
      <c r="B240" t="s">
        <v>23</v>
      </c>
      <c r="C240" t="s">
        <v>121</v>
      </c>
      <c r="D240" s="2">
        <v>5394577.6799999997</v>
      </c>
      <c r="E240" s="2">
        <v>651871.49</v>
      </c>
      <c r="F240" s="2">
        <v>161990.24</v>
      </c>
      <c r="G240" s="2">
        <v>7822755.46</v>
      </c>
    </row>
    <row r="241" spans="1:7" x14ac:dyDescent="0.25">
      <c r="A241" s="1">
        <v>44927</v>
      </c>
      <c r="B241" t="s">
        <v>52</v>
      </c>
      <c r="C241" t="s">
        <v>57</v>
      </c>
      <c r="D241" s="2">
        <v>50657802.549999997</v>
      </c>
      <c r="E241" s="2">
        <v>46103611.689999998</v>
      </c>
      <c r="F241" s="2">
        <v>8828985</v>
      </c>
      <c r="G241" s="2">
        <v>46571256.810000002</v>
      </c>
    </row>
    <row r="242" spans="1:7" x14ac:dyDescent="0.25">
      <c r="A242" s="1">
        <v>44927</v>
      </c>
      <c r="B242" t="s">
        <v>13</v>
      </c>
      <c r="C242" t="s">
        <v>34</v>
      </c>
      <c r="D242" s="2">
        <v>5567827.3200000003</v>
      </c>
      <c r="E242" s="2">
        <v>4914307.0999999996</v>
      </c>
      <c r="F242" s="2">
        <v>4889730.4400000004</v>
      </c>
      <c r="G242" s="2">
        <v>21367052.120000001</v>
      </c>
    </row>
    <row r="243" spans="1:7" x14ac:dyDescent="0.25">
      <c r="A243" s="1">
        <v>44927</v>
      </c>
      <c r="B243" t="s">
        <v>43</v>
      </c>
      <c r="C243" t="s">
        <v>122</v>
      </c>
      <c r="D243" s="2">
        <v>141591.18</v>
      </c>
      <c r="E243" s="2">
        <v>81727.490000000005</v>
      </c>
      <c r="F243" s="2">
        <v>57479.08</v>
      </c>
      <c r="G243" s="2">
        <v>395938.72</v>
      </c>
    </row>
    <row r="244" spans="1:7" x14ac:dyDescent="0.25">
      <c r="A244" s="1">
        <v>44927</v>
      </c>
      <c r="B244" t="s">
        <v>37</v>
      </c>
      <c r="C244" t="s">
        <v>57</v>
      </c>
      <c r="D244" s="2">
        <v>210947723.09</v>
      </c>
      <c r="E244" s="2">
        <v>17897895.989999998</v>
      </c>
      <c r="F244" s="2">
        <v>2561829.4300000002</v>
      </c>
      <c r="G244" s="2">
        <v>30081239.43</v>
      </c>
    </row>
    <row r="245" spans="1:7" x14ac:dyDescent="0.25">
      <c r="A245" s="1">
        <v>44927</v>
      </c>
      <c r="B245" t="s">
        <v>7</v>
      </c>
      <c r="C245" t="s">
        <v>123</v>
      </c>
      <c r="D245" s="2">
        <v>8368197.4299999997</v>
      </c>
      <c r="E245" s="2">
        <v>19429.21</v>
      </c>
      <c r="F245" s="2">
        <v>9004.82</v>
      </c>
      <c r="G245" s="2">
        <v>2098779.16</v>
      </c>
    </row>
    <row r="246" spans="1:7" x14ac:dyDescent="0.25">
      <c r="A246" s="1">
        <v>44927</v>
      </c>
      <c r="B246" t="s">
        <v>54</v>
      </c>
      <c r="C246" t="s">
        <v>14</v>
      </c>
      <c r="D246" s="2">
        <v>1457486.35</v>
      </c>
      <c r="E246">
        <v>0</v>
      </c>
      <c r="F246">
        <v>0</v>
      </c>
      <c r="G246" s="2">
        <v>790716.35</v>
      </c>
    </row>
    <row r="247" spans="1:7" x14ac:dyDescent="0.25">
      <c r="A247" s="1">
        <v>44927</v>
      </c>
      <c r="B247" t="s">
        <v>43</v>
      </c>
      <c r="C247" t="s">
        <v>66</v>
      </c>
      <c r="D247" s="2">
        <v>20209.09</v>
      </c>
      <c r="E247" s="2">
        <v>5818.08</v>
      </c>
      <c r="F247" s="2">
        <v>5392.46</v>
      </c>
      <c r="G247" s="2">
        <v>439132.51</v>
      </c>
    </row>
    <row r="248" spans="1:7" x14ac:dyDescent="0.25">
      <c r="A248" s="1">
        <v>44927</v>
      </c>
      <c r="B248" t="s">
        <v>33</v>
      </c>
      <c r="C248" t="s">
        <v>14</v>
      </c>
      <c r="D248" s="2">
        <v>4434348.1900000004</v>
      </c>
      <c r="E248" s="2">
        <v>37834.47</v>
      </c>
      <c r="F248" s="2">
        <v>37834.47</v>
      </c>
      <c r="G248" s="2">
        <v>28451730.949999999</v>
      </c>
    </row>
    <row r="249" spans="1:7" x14ac:dyDescent="0.25">
      <c r="A249" s="1">
        <v>44927</v>
      </c>
      <c r="B249" t="s">
        <v>31</v>
      </c>
      <c r="C249" t="s">
        <v>29</v>
      </c>
      <c r="D249" s="2">
        <v>300093586934.31</v>
      </c>
      <c r="E249" s="2">
        <v>14745675337.209999</v>
      </c>
      <c r="F249" s="2">
        <v>14281151239.360001</v>
      </c>
      <c r="G249" s="2">
        <v>14250632740.08</v>
      </c>
    </row>
    <row r="250" spans="1:7" x14ac:dyDescent="0.25">
      <c r="A250" s="1">
        <v>44927</v>
      </c>
      <c r="B250" t="s">
        <v>28</v>
      </c>
      <c r="C250" t="s">
        <v>57</v>
      </c>
      <c r="D250" s="2">
        <v>683513814.05999994</v>
      </c>
      <c r="E250" s="2">
        <v>215336273.31</v>
      </c>
      <c r="F250" s="2">
        <v>52530700.200000003</v>
      </c>
      <c r="G250" s="2">
        <v>264578467.22</v>
      </c>
    </row>
    <row r="251" spans="1:7" x14ac:dyDescent="0.25">
      <c r="A251" s="1">
        <v>44927</v>
      </c>
      <c r="B251" t="s">
        <v>17</v>
      </c>
      <c r="C251" t="s">
        <v>40</v>
      </c>
      <c r="D251" s="2">
        <v>6101496164.2799997</v>
      </c>
      <c r="E251" s="2">
        <v>16676737.24</v>
      </c>
      <c r="F251" s="2">
        <v>16647830.16</v>
      </c>
      <c r="G251" s="2">
        <v>1218297768.1800001</v>
      </c>
    </row>
    <row r="252" spans="1:7" x14ac:dyDescent="0.25">
      <c r="A252" s="1">
        <v>44927</v>
      </c>
      <c r="B252" t="s">
        <v>11</v>
      </c>
      <c r="C252" t="s">
        <v>107</v>
      </c>
      <c r="D252" s="2">
        <v>3023552</v>
      </c>
      <c r="E252" s="2">
        <v>2638131.9700000002</v>
      </c>
      <c r="F252" s="2">
        <v>2546112.29</v>
      </c>
      <c r="G252" s="2">
        <v>1210008.83</v>
      </c>
    </row>
    <row r="253" spans="1:7" x14ac:dyDescent="0.25">
      <c r="A253" s="1">
        <v>44927</v>
      </c>
      <c r="B253" t="s">
        <v>27</v>
      </c>
      <c r="C253" t="s">
        <v>99</v>
      </c>
      <c r="D253" s="2">
        <v>34006516.979999997</v>
      </c>
      <c r="E253" s="2">
        <v>3639605.13</v>
      </c>
      <c r="F253" s="2">
        <v>1768148.81</v>
      </c>
      <c r="G253" s="2">
        <v>13627872.720000001</v>
      </c>
    </row>
    <row r="254" spans="1:7" x14ac:dyDescent="0.25">
      <c r="A254" s="1">
        <v>44927</v>
      </c>
      <c r="B254" t="s">
        <v>37</v>
      </c>
      <c r="C254" t="s">
        <v>24</v>
      </c>
      <c r="D254" s="2">
        <v>6027382.2800000003</v>
      </c>
      <c r="E254" s="2">
        <v>490705.18</v>
      </c>
      <c r="F254" s="2">
        <v>108288.76</v>
      </c>
      <c r="G254" s="2">
        <v>8669720.4100000001</v>
      </c>
    </row>
    <row r="255" spans="1:7" x14ac:dyDescent="0.25">
      <c r="A255" s="1">
        <v>44927</v>
      </c>
      <c r="B255" t="s">
        <v>62</v>
      </c>
      <c r="C255" t="s">
        <v>57</v>
      </c>
      <c r="D255" s="2">
        <v>69171529.560000002</v>
      </c>
      <c r="E255" s="2">
        <v>22685814.890000001</v>
      </c>
      <c r="F255" s="2">
        <v>5996010.7400000002</v>
      </c>
      <c r="G255" s="2">
        <v>29601434.359999999</v>
      </c>
    </row>
    <row r="256" spans="1:7" x14ac:dyDescent="0.25">
      <c r="A256" s="1">
        <v>44927</v>
      </c>
      <c r="B256" t="s">
        <v>47</v>
      </c>
      <c r="C256" t="s">
        <v>76</v>
      </c>
      <c r="D256" s="2">
        <v>120971404.78</v>
      </c>
      <c r="E256" s="2">
        <v>3510859.21</v>
      </c>
      <c r="F256" s="2">
        <v>2829292.46</v>
      </c>
      <c r="G256" s="2">
        <v>30011591.960000001</v>
      </c>
    </row>
    <row r="257" spans="1:7" x14ac:dyDescent="0.25">
      <c r="A257" s="1">
        <v>44927</v>
      </c>
      <c r="B257" t="s">
        <v>69</v>
      </c>
      <c r="C257" t="s">
        <v>59</v>
      </c>
      <c r="D257" s="2">
        <v>8002595.0300000003</v>
      </c>
      <c r="E257" s="2">
        <v>39457.199999999997</v>
      </c>
      <c r="F257" s="2">
        <v>30926.25</v>
      </c>
      <c r="G257" s="2">
        <v>17734910.859999999</v>
      </c>
    </row>
    <row r="258" spans="1:7" x14ac:dyDescent="0.25">
      <c r="A258" s="1">
        <v>44927</v>
      </c>
      <c r="B258" t="s">
        <v>33</v>
      </c>
      <c r="C258" t="s">
        <v>78</v>
      </c>
      <c r="D258">
        <v>0</v>
      </c>
      <c r="E258">
        <v>0</v>
      </c>
      <c r="F258">
        <v>0</v>
      </c>
      <c r="G258" s="2">
        <v>72104675.219999999</v>
      </c>
    </row>
    <row r="259" spans="1:7" x14ac:dyDescent="0.25">
      <c r="A259" s="1">
        <v>44927</v>
      </c>
      <c r="B259" t="s">
        <v>26</v>
      </c>
      <c r="C259" t="s">
        <v>57</v>
      </c>
      <c r="D259" s="2">
        <v>393745633.70999998</v>
      </c>
      <c r="E259" s="2">
        <v>29296609.850000001</v>
      </c>
      <c r="F259" s="2">
        <v>6849867.9000000004</v>
      </c>
      <c r="G259" s="2">
        <v>33955144.649999999</v>
      </c>
    </row>
    <row r="260" spans="1:7" x14ac:dyDescent="0.25">
      <c r="A260" s="1">
        <v>44927</v>
      </c>
      <c r="B260" t="s">
        <v>69</v>
      </c>
      <c r="C260" t="s">
        <v>57</v>
      </c>
      <c r="D260" s="2">
        <v>708968899.96000004</v>
      </c>
      <c r="E260" s="2">
        <v>73180628.030000001</v>
      </c>
      <c r="F260" s="2">
        <v>26597610.809999999</v>
      </c>
      <c r="G260" s="2">
        <v>72525261.170000002</v>
      </c>
    </row>
    <row r="261" spans="1:7" x14ac:dyDescent="0.25">
      <c r="A261" s="1">
        <v>44927</v>
      </c>
      <c r="B261" t="s">
        <v>7</v>
      </c>
      <c r="C261" t="s">
        <v>72</v>
      </c>
      <c r="D261" s="2">
        <v>2318862234.3499999</v>
      </c>
      <c r="E261" s="2">
        <v>233140475.61000001</v>
      </c>
      <c r="F261" s="2">
        <v>26092740.289999999</v>
      </c>
      <c r="G261">
        <v>0</v>
      </c>
    </row>
    <row r="262" spans="1:7" x14ac:dyDescent="0.25">
      <c r="A262" s="1">
        <v>44927</v>
      </c>
      <c r="B262" t="s">
        <v>43</v>
      </c>
      <c r="C262" t="s">
        <v>57</v>
      </c>
      <c r="D262" s="2">
        <v>286147861.54000002</v>
      </c>
      <c r="E262" s="2">
        <v>70382525.459999993</v>
      </c>
      <c r="F262" s="2">
        <v>13497153.4</v>
      </c>
      <c r="G262" s="2">
        <v>89965254.760000005</v>
      </c>
    </row>
    <row r="263" spans="1:7" x14ac:dyDescent="0.25">
      <c r="A263" s="1">
        <v>44927</v>
      </c>
      <c r="B263" t="s">
        <v>23</v>
      </c>
      <c r="C263" t="s">
        <v>117</v>
      </c>
      <c r="D263" s="2">
        <v>230222433.74000001</v>
      </c>
      <c r="E263" s="2">
        <v>161354132.36000001</v>
      </c>
      <c r="F263" s="2">
        <v>124308861.88</v>
      </c>
      <c r="G263" s="2">
        <v>50496880.75</v>
      </c>
    </row>
    <row r="264" spans="1:7" x14ac:dyDescent="0.25">
      <c r="A264" s="1">
        <v>44927</v>
      </c>
      <c r="B264" t="s">
        <v>15</v>
      </c>
      <c r="C264" t="s">
        <v>75</v>
      </c>
      <c r="D264" s="2">
        <v>8126785.5999999996</v>
      </c>
      <c r="E264" s="2">
        <v>316467.63</v>
      </c>
      <c r="F264" s="2">
        <v>307688.36</v>
      </c>
      <c r="G264" s="2">
        <v>5600001.1100000003</v>
      </c>
    </row>
    <row r="265" spans="1:7" x14ac:dyDescent="0.25">
      <c r="A265" s="1">
        <v>44927</v>
      </c>
      <c r="B265" t="s">
        <v>69</v>
      </c>
      <c r="C265" t="s">
        <v>20</v>
      </c>
      <c r="D265" s="2">
        <v>5832804.2599999998</v>
      </c>
      <c r="E265" s="2">
        <v>1507833.07</v>
      </c>
      <c r="F265" s="2">
        <v>417751.56</v>
      </c>
      <c r="G265" s="2">
        <v>5337249.38</v>
      </c>
    </row>
    <row r="266" spans="1:7" x14ac:dyDescent="0.25">
      <c r="A266" s="1">
        <v>44927</v>
      </c>
      <c r="B266" t="s">
        <v>13</v>
      </c>
      <c r="C266" t="s">
        <v>103</v>
      </c>
      <c r="D266" s="2">
        <v>149998227.88</v>
      </c>
      <c r="E266" s="2">
        <v>128890595.3</v>
      </c>
      <c r="F266" s="2">
        <v>87814070.150000006</v>
      </c>
      <c r="G266" s="2">
        <v>57339502.649999999</v>
      </c>
    </row>
    <row r="267" spans="1:7" x14ac:dyDescent="0.25">
      <c r="A267" s="1">
        <v>44927</v>
      </c>
      <c r="B267" t="s">
        <v>54</v>
      </c>
      <c r="C267" t="s">
        <v>75</v>
      </c>
      <c r="D267" s="2">
        <v>9670903.1500000004</v>
      </c>
      <c r="E267" s="2">
        <v>476574.38</v>
      </c>
      <c r="F267" s="2">
        <v>393905.34</v>
      </c>
      <c r="G267" s="2">
        <v>9171138.9700000007</v>
      </c>
    </row>
    <row r="268" spans="1:7" x14ac:dyDescent="0.25">
      <c r="A268" s="1">
        <v>44927</v>
      </c>
      <c r="B268" t="s">
        <v>17</v>
      </c>
      <c r="C268" t="s">
        <v>55</v>
      </c>
      <c r="D268">
        <v>0</v>
      </c>
      <c r="E268">
        <v>0</v>
      </c>
      <c r="F268">
        <v>0</v>
      </c>
      <c r="G268" s="2">
        <v>600982.36</v>
      </c>
    </row>
    <row r="269" spans="1:7" x14ac:dyDescent="0.25">
      <c r="A269" s="1">
        <v>44927</v>
      </c>
      <c r="B269" t="s">
        <v>7</v>
      </c>
      <c r="C269" t="s">
        <v>57</v>
      </c>
      <c r="D269" s="2">
        <v>379894288.85000002</v>
      </c>
      <c r="E269" s="2">
        <v>46429707.539999999</v>
      </c>
      <c r="F269" s="2">
        <v>14533171.59</v>
      </c>
      <c r="G269" s="2">
        <v>93660719.760000005</v>
      </c>
    </row>
    <row r="270" spans="1:7" x14ac:dyDescent="0.25">
      <c r="A270" s="1">
        <v>44927</v>
      </c>
      <c r="B270" t="s">
        <v>15</v>
      </c>
      <c r="C270" t="s">
        <v>57</v>
      </c>
      <c r="D270" s="2">
        <v>558866565.69000006</v>
      </c>
      <c r="E270" s="2">
        <v>41995253.450000003</v>
      </c>
      <c r="F270" s="2">
        <v>9502526.6699999999</v>
      </c>
      <c r="G270" s="2">
        <v>47557438.189999998</v>
      </c>
    </row>
    <row r="271" spans="1:7" x14ac:dyDescent="0.25">
      <c r="A271" s="1">
        <v>44927</v>
      </c>
      <c r="B271" t="s">
        <v>11</v>
      </c>
      <c r="C271" t="s">
        <v>55</v>
      </c>
      <c r="D271" s="2">
        <v>1478668.37</v>
      </c>
      <c r="E271" s="2">
        <v>16634.91</v>
      </c>
      <c r="F271" s="2">
        <v>7765.08</v>
      </c>
      <c r="G271" s="2">
        <v>91998.58</v>
      </c>
    </row>
    <row r="272" spans="1:7" x14ac:dyDescent="0.25">
      <c r="A272" s="1">
        <v>44927</v>
      </c>
      <c r="B272" t="s">
        <v>36</v>
      </c>
      <c r="C272" t="s">
        <v>75</v>
      </c>
      <c r="D272" s="2">
        <v>5598221.3099999996</v>
      </c>
      <c r="E272" s="2">
        <v>6387.15</v>
      </c>
      <c r="F272" s="2">
        <v>4994.24</v>
      </c>
      <c r="G272" s="2">
        <v>217090.96</v>
      </c>
    </row>
    <row r="273" spans="1:7" x14ac:dyDescent="0.25">
      <c r="A273" s="1">
        <v>44927</v>
      </c>
      <c r="B273" t="s">
        <v>17</v>
      </c>
      <c r="C273" t="s">
        <v>72</v>
      </c>
      <c r="D273" s="2">
        <v>236488425.34999999</v>
      </c>
      <c r="E273" s="2">
        <v>16724258.32</v>
      </c>
      <c r="F273" s="2">
        <v>6080182.7800000003</v>
      </c>
      <c r="G273">
        <v>0</v>
      </c>
    </row>
    <row r="274" spans="1:7" x14ac:dyDescent="0.25">
      <c r="A274" s="1">
        <v>44927</v>
      </c>
      <c r="B274" t="s">
        <v>28</v>
      </c>
      <c r="C274" t="s">
        <v>124</v>
      </c>
      <c r="D274" s="2">
        <v>368971202604.35999</v>
      </c>
      <c r="E274" s="2">
        <v>63600672941.709999</v>
      </c>
      <c r="F274" s="2">
        <v>13757237894.700001</v>
      </c>
      <c r="G274" s="2">
        <v>47958906183.769997</v>
      </c>
    </row>
    <row r="275" spans="1:7" x14ac:dyDescent="0.25">
      <c r="A275" s="1">
        <v>44927</v>
      </c>
      <c r="B275" t="s">
        <v>28</v>
      </c>
      <c r="C275" t="s">
        <v>125</v>
      </c>
      <c r="D275" s="2">
        <v>73317161617.050003</v>
      </c>
      <c r="E275" s="2">
        <v>7590015465.5200005</v>
      </c>
      <c r="F275" s="2">
        <v>770494044.44000006</v>
      </c>
      <c r="G275" s="2">
        <v>6785231387.4700003</v>
      </c>
    </row>
    <row r="276" spans="1:7" x14ac:dyDescent="0.25">
      <c r="A276" s="1">
        <v>44927</v>
      </c>
      <c r="B276" t="s">
        <v>47</v>
      </c>
      <c r="C276" t="s">
        <v>75</v>
      </c>
      <c r="D276" s="2">
        <v>1024676.41</v>
      </c>
      <c r="E276" s="2">
        <v>51564.78</v>
      </c>
      <c r="F276" s="2">
        <v>47009.3</v>
      </c>
      <c r="G276" s="2">
        <v>1379457.73</v>
      </c>
    </row>
    <row r="277" spans="1:7" x14ac:dyDescent="0.25">
      <c r="A277" s="1">
        <v>44927</v>
      </c>
      <c r="B277" t="s">
        <v>54</v>
      </c>
      <c r="C277" t="s">
        <v>119</v>
      </c>
      <c r="D277" s="2">
        <v>730073.21</v>
      </c>
      <c r="E277" s="2">
        <v>178104.36</v>
      </c>
      <c r="F277" s="2">
        <v>178104.36</v>
      </c>
      <c r="G277" s="2">
        <v>260892.3</v>
      </c>
    </row>
    <row r="278" spans="1:7" x14ac:dyDescent="0.25">
      <c r="A278" s="1">
        <v>44927</v>
      </c>
      <c r="B278" t="s">
        <v>17</v>
      </c>
      <c r="C278" t="s">
        <v>126</v>
      </c>
      <c r="D278" s="2">
        <v>23067716.25</v>
      </c>
      <c r="E278" s="2">
        <v>19262429.809999999</v>
      </c>
      <c r="F278" s="2">
        <v>1278867.69</v>
      </c>
      <c r="G278" s="2">
        <v>7319673.3200000003</v>
      </c>
    </row>
    <row r="279" spans="1:7" x14ac:dyDescent="0.25">
      <c r="A279" s="1">
        <v>44927</v>
      </c>
      <c r="B279" t="s">
        <v>31</v>
      </c>
      <c r="C279" t="s">
        <v>22</v>
      </c>
      <c r="D279" s="2">
        <v>28341638867.330002</v>
      </c>
      <c r="E279" s="2">
        <v>1183984470.3800001</v>
      </c>
      <c r="F279" s="2">
        <v>953787725.04999995</v>
      </c>
      <c r="G279" s="2">
        <v>1551936682.6600001</v>
      </c>
    </row>
    <row r="280" spans="1:7" x14ac:dyDescent="0.25">
      <c r="A280" s="1">
        <v>44927</v>
      </c>
      <c r="B280" t="s">
        <v>7</v>
      </c>
      <c r="C280" t="s">
        <v>12</v>
      </c>
      <c r="D280" s="2">
        <v>2599799.79</v>
      </c>
      <c r="E280" s="2">
        <v>175032.2</v>
      </c>
      <c r="F280" s="2">
        <v>10674.2</v>
      </c>
      <c r="G280" s="2">
        <v>3074570.37</v>
      </c>
    </row>
    <row r="281" spans="1:7" x14ac:dyDescent="0.25">
      <c r="A281" s="1">
        <v>44927</v>
      </c>
      <c r="B281" t="s">
        <v>54</v>
      </c>
      <c r="C281" t="s">
        <v>103</v>
      </c>
      <c r="D281" s="2">
        <v>2762775.75</v>
      </c>
      <c r="E281" s="2">
        <v>50518.13</v>
      </c>
      <c r="F281" s="2">
        <v>2353.35</v>
      </c>
      <c r="G281" s="2">
        <v>4528164.82</v>
      </c>
    </row>
    <row r="282" spans="1:7" x14ac:dyDescent="0.25">
      <c r="A282" s="1">
        <v>44927</v>
      </c>
      <c r="B282" t="s">
        <v>17</v>
      </c>
      <c r="C282" t="s">
        <v>39</v>
      </c>
      <c r="D282" s="2">
        <v>1185424.23</v>
      </c>
      <c r="E282" s="2">
        <v>777686.57</v>
      </c>
      <c r="F282" s="2">
        <v>363504.81</v>
      </c>
      <c r="G282" s="2">
        <v>373440.29</v>
      </c>
    </row>
    <row r="283" spans="1:7" x14ac:dyDescent="0.25">
      <c r="A283" s="1">
        <v>44927</v>
      </c>
      <c r="B283" t="s">
        <v>54</v>
      </c>
      <c r="C283" t="s">
        <v>78</v>
      </c>
      <c r="D283">
        <v>0</v>
      </c>
      <c r="E283">
        <v>0</v>
      </c>
      <c r="F283">
        <v>0</v>
      </c>
      <c r="G283" s="2">
        <v>304072966.94999999</v>
      </c>
    </row>
    <row r="284" spans="1:7" x14ac:dyDescent="0.25">
      <c r="A284" s="1">
        <v>44927</v>
      </c>
      <c r="B284" t="s">
        <v>43</v>
      </c>
      <c r="C284" t="s">
        <v>127</v>
      </c>
      <c r="D284" s="2">
        <v>353123.84000000003</v>
      </c>
      <c r="E284" s="2">
        <v>138783.26999999999</v>
      </c>
      <c r="F284" s="2">
        <v>123880.15</v>
      </c>
      <c r="G284" s="2">
        <v>1474901.92</v>
      </c>
    </row>
    <row r="285" spans="1:7" x14ac:dyDescent="0.25">
      <c r="A285" s="1">
        <v>44927</v>
      </c>
      <c r="B285" t="s">
        <v>17</v>
      </c>
      <c r="C285" t="s">
        <v>75</v>
      </c>
      <c r="D285" s="2">
        <v>2330085.14</v>
      </c>
      <c r="E285" s="2">
        <v>491888.88</v>
      </c>
      <c r="F285" s="2">
        <v>373556.16</v>
      </c>
      <c r="G285" s="2">
        <v>8913530.5</v>
      </c>
    </row>
    <row r="286" spans="1:7" x14ac:dyDescent="0.25">
      <c r="A286" s="1">
        <v>44927</v>
      </c>
      <c r="B286" t="s">
        <v>54</v>
      </c>
      <c r="C286" t="s">
        <v>12</v>
      </c>
      <c r="D286" s="2">
        <v>12354252.689999999</v>
      </c>
      <c r="E286" s="2">
        <v>130684.9</v>
      </c>
      <c r="F286" s="2">
        <v>72672.17</v>
      </c>
      <c r="G286" s="2">
        <v>3607976.7</v>
      </c>
    </row>
    <row r="287" spans="1:7" x14ac:dyDescent="0.25">
      <c r="A287" s="1">
        <v>44927</v>
      </c>
      <c r="B287" t="s">
        <v>17</v>
      </c>
      <c r="C287" t="s">
        <v>103</v>
      </c>
      <c r="D287" s="2">
        <v>2969162.91</v>
      </c>
      <c r="E287" s="2">
        <v>1868488.81</v>
      </c>
      <c r="F287" s="2">
        <v>573233.68000000005</v>
      </c>
      <c r="G287" s="2">
        <v>10087800.59</v>
      </c>
    </row>
    <row r="288" spans="1:7" x14ac:dyDescent="0.25">
      <c r="A288" s="1">
        <v>44927</v>
      </c>
      <c r="B288" t="s">
        <v>9</v>
      </c>
      <c r="C288" t="s">
        <v>57</v>
      </c>
      <c r="D288" s="2">
        <v>4908475222.25</v>
      </c>
      <c r="E288" s="2">
        <v>555780264.98000002</v>
      </c>
      <c r="F288" s="2">
        <v>153927769.5</v>
      </c>
      <c r="G288" s="2">
        <v>557996481.38</v>
      </c>
    </row>
    <row r="289" spans="1:7" x14ac:dyDescent="0.25">
      <c r="A289" s="1">
        <v>44927</v>
      </c>
      <c r="B289" t="s">
        <v>65</v>
      </c>
      <c r="C289" t="s">
        <v>57</v>
      </c>
      <c r="D289" s="2">
        <v>500441027.04000002</v>
      </c>
      <c r="E289" s="2">
        <v>176395502.66</v>
      </c>
      <c r="F289" s="2">
        <v>50148947.289999999</v>
      </c>
      <c r="G289" s="2">
        <v>168584068.40000001</v>
      </c>
    </row>
    <row r="290" spans="1:7" x14ac:dyDescent="0.25">
      <c r="A290" s="1">
        <v>44927</v>
      </c>
      <c r="B290" t="s">
        <v>33</v>
      </c>
      <c r="C290" t="s">
        <v>79</v>
      </c>
      <c r="D290" s="2">
        <v>45930851.210000001</v>
      </c>
      <c r="E290" s="2">
        <v>33270370.75</v>
      </c>
      <c r="F290" s="2">
        <v>5544418.3300000001</v>
      </c>
      <c r="G290" s="2">
        <v>185926527.34</v>
      </c>
    </row>
    <row r="291" spans="1:7" x14ac:dyDescent="0.25">
      <c r="A291" s="1">
        <v>44927</v>
      </c>
      <c r="B291" t="s">
        <v>23</v>
      </c>
      <c r="C291" t="s">
        <v>34</v>
      </c>
      <c r="D291" s="2">
        <v>13344298.949999999</v>
      </c>
      <c r="E291" s="2">
        <v>1776687.92</v>
      </c>
      <c r="F291" s="2">
        <v>595275.93000000005</v>
      </c>
      <c r="G291" s="2">
        <v>39156194.68</v>
      </c>
    </row>
    <row r="292" spans="1:7" x14ac:dyDescent="0.25">
      <c r="A292" s="1">
        <v>44927</v>
      </c>
      <c r="B292" t="s">
        <v>9</v>
      </c>
      <c r="C292" t="s">
        <v>112</v>
      </c>
      <c r="D292" s="2">
        <v>73036497.700000003</v>
      </c>
      <c r="E292" s="2">
        <v>23074633.48</v>
      </c>
      <c r="F292" s="2">
        <v>19522606.530000001</v>
      </c>
      <c r="G292" s="2">
        <v>22571070.719999999</v>
      </c>
    </row>
    <row r="293" spans="1:7" x14ac:dyDescent="0.25">
      <c r="A293" s="1">
        <v>44927</v>
      </c>
      <c r="B293" t="s">
        <v>7</v>
      </c>
      <c r="C293" t="s">
        <v>102</v>
      </c>
      <c r="D293" s="2">
        <v>8177343352.9200001</v>
      </c>
      <c r="E293" s="2">
        <v>735078216.58000004</v>
      </c>
      <c r="F293" s="2">
        <v>131739401.45999999</v>
      </c>
      <c r="G293" s="2">
        <v>1282367041.26</v>
      </c>
    </row>
    <row r="294" spans="1:7" x14ac:dyDescent="0.25">
      <c r="A294" s="1">
        <v>44927</v>
      </c>
      <c r="B294" t="s">
        <v>23</v>
      </c>
      <c r="C294" t="s">
        <v>102</v>
      </c>
      <c r="D294" s="2">
        <v>8081647002.4099998</v>
      </c>
      <c r="E294" s="2">
        <v>3847313590.5900002</v>
      </c>
      <c r="F294" s="2">
        <v>3805638556.6500001</v>
      </c>
      <c r="G294" s="2">
        <v>833265016.88</v>
      </c>
    </row>
    <row r="295" spans="1:7" x14ac:dyDescent="0.25">
      <c r="A295" s="1">
        <v>44927</v>
      </c>
      <c r="B295" t="s">
        <v>69</v>
      </c>
      <c r="C295" t="s">
        <v>122</v>
      </c>
      <c r="D295" s="2">
        <v>11592225.84</v>
      </c>
      <c r="E295" s="2">
        <v>1290633.8</v>
      </c>
      <c r="F295" s="2">
        <v>1259687.78</v>
      </c>
      <c r="G295" s="2">
        <v>79198123.980000004</v>
      </c>
    </row>
    <row r="296" spans="1:7" x14ac:dyDescent="0.25">
      <c r="A296" s="1">
        <v>44927</v>
      </c>
      <c r="B296" t="s">
        <v>9</v>
      </c>
      <c r="C296" t="s">
        <v>128</v>
      </c>
      <c r="D296" s="2">
        <v>194628521.30000001</v>
      </c>
      <c r="E296" s="2">
        <v>30875883.129999999</v>
      </c>
      <c r="F296" s="2">
        <v>27909409.920000002</v>
      </c>
      <c r="G296" s="2">
        <v>57154854.909999996</v>
      </c>
    </row>
    <row r="297" spans="1:7" x14ac:dyDescent="0.25">
      <c r="A297" s="1">
        <v>44927</v>
      </c>
      <c r="B297" t="s">
        <v>54</v>
      </c>
      <c r="C297" t="s">
        <v>129</v>
      </c>
      <c r="D297" s="2">
        <v>145416794.84999999</v>
      </c>
      <c r="E297" s="2">
        <v>652959.30000000005</v>
      </c>
      <c r="F297" s="2">
        <v>504358.3</v>
      </c>
      <c r="G297" s="2">
        <v>100790944.08</v>
      </c>
    </row>
    <row r="298" spans="1:7" x14ac:dyDescent="0.25">
      <c r="A298" s="1">
        <v>44927</v>
      </c>
      <c r="B298" t="s">
        <v>23</v>
      </c>
      <c r="C298" t="s">
        <v>78</v>
      </c>
      <c r="D298" s="2">
        <v>2461451309.3200002</v>
      </c>
      <c r="E298" s="2">
        <v>2111089798.6500001</v>
      </c>
      <c r="F298" s="2">
        <v>2013067566.03</v>
      </c>
      <c r="G298" s="2">
        <v>64568510.57</v>
      </c>
    </row>
    <row r="299" spans="1:7" x14ac:dyDescent="0.25">
      <c r="A299" s="1">
        <v>44927</v>
      </c>
      <c r="B299" t="s">
        <v>11</v>
      </c>
      <c r="C299" t="s">
        <v>50</v>
      </c>
      <c r="D299" s="2">
        <v>54511231.490000002</v>
      </c>
      <c r="E299" s="2">
        <v>43313994.149999999</v>
      </c>
      <c r="F299" s="2">
        <v>41238512.109999999</v>
      </c>
      <c r="G299" s="2">
        <v>25943513.73</v>
      </c>
    </row>
    <row r="300" spans="1:7" x14ac:dyDescent="0.25">
      <c r="A300" s="1">
        <v>44927</v>
      </c>
      <c r="B300" t="s">
        <v>17</v>
      </c>
      <c r="C300" t="s">
        <v>57</v>
      </c>
      <c r="D300" s="2">
        <v>3360924420.7199998</v>
      </c>
      <c r="E300" s="2">
        <v>401780484.81</v>
      </c>
      <c r="F300" s="2">
        <v>65358795.920000002</v>
      </c>
      <c r="G300" s="2">
        <v>359020508.69</v>
      </c>
    </row>
    <row r="301" spans="1:7" x14ac:dyDescent="0.25">
      <c r="A301" s="1">
        <v>44927</v>
      </c>
      <c r="B301" t="s">
        <v>13</v>
      </c>
      <c r="C301" t="s">
        <v>57</v>
      </c>
      <c r="D301" s="2">
        <v>1110844551.54</v>
      </c>
      <c r="E301" s="2">
        <v>94452065.870000005</v>
      </c>
      <c r="F301" s="2">
        <v>16641537.16</v>
      </c>
      <c r="G301" s="2">
        <v>120139473.79000001</v>
      </c>
    </row>
    <row r="302" spans="1:7" x14ac:dyDescent="0.25">
      <c r="A302" s="1">
        <v>44927</v>
      </c>
      <c r="B302" t="s">
        <v>7</v>
      </c>
      <c r="C302" t="s">
        <v>68</v>
      </c>
      <c r="D302" s="2">
        <v>8515953869.9700003</v>
      </c>
      <c r="E302" s="2">
        <v>873362829.98000002</v>
      </c>
      <c r="F302" s="2">
        <v>230698032.5</v>
      </c>
      <c r="G302" s="2">
        <v>1147747848.0899999</v>
      </c>
    </row>
    <row r="303" spans="1:7" x14ac:dyDescent="0.25">
      <c r="A303" s="1">
        <v>44927</v>
      </c>
      <c r="B303" t="s">
        <v>7</v>
      </c>
      <c r="C303" t="s">
        <v>95</v>
      </c>
      <c r="D303" s="2">
        <v>341177586.06999999</v>
      </c>
      <c r="E303" s="2">
        <v>29883841.66</v>
      </c>
      <c r="F303" s="2">
        <v>11427835.210000001</v>
      </c>
      <c r="G303" s="2">
        <v>331995032.33999997</v>
      </c>
    </row>
    <row r="304" spans="1:7" x14ac:dyDescent="0.25">
      <c r="A304" s="1">
        <v>44927</v>
      </c>
      <c r="B304" t="s">
        <v>33</v>
      </c>
      <c r="C304" t="s">
        <v>57</v>
      </c>
      <c r="D304" s="2">
        <v>9942549056.9699993</v>
      </c>
      <c r="E304" s="2">
        <v>1391798179.23</v>
      </c>
      <c r="F304" s="2">
        <v>359947501.13999999</v>
      </c>
      <c r="G304" s="2">
        <v>1460910307.3399999</v>
      </c>
    </row>
    <row r="305" spans="1:7" x14ac:dyDescent="0.25">
      <c r="A305" s="1">
        <v>44927</v>
      </c>
      <c r="B305" t="s">
        <v>33</v>
      </c>
      <c r="C305" t="s">
        <v>90</v>
      </c>
      <c r="D305" s="2">
        <v>6193701.9000000004</v>
      </c>
      <c r="E305" s="2">
        <v>335326.84999999998</v>
      </c>
      <c r="F305" s="2">
        <v>189129.51</v>
      </c>
      <c r="G305" s="2">
        <v>5077755.59</v>
      </c>
    </row>
    <row r="306" spans="1:7" x14ac:dyDescent="0.25">
      <c r="A306" s="1">
        <v>44927</v>
      </c>
      <c r="B306" t="s">
        <v>54</v>
      </c>
      <c r="C306" t="s">
        <v>72</v>
      </c>
      <c r="D306" s="2">
        <v>2132929169.99</v>
      </c>
      <c r="E306" s="2">
        <v>271283152.24000001</v>
      </c>
      <c r="F306" s="2">
        <v>55052049.049999997</v>
      </c>
      <c r="G306" s="2">
        <v>79434912.219999999</v>
      </c>
    </row>
    <row r="307" spans="1:7" x14ac:dyDescent="0.25">
      <c r="A307" s="1">
        <v>44927</v>
      </c>
      <c r="B307" t="s">
        <v>11</v>
      </c>
      <c r="C307" t="s">
        <v>57</v>
      </c>
      <c r="D307" s="2">
        <v>224299029.05000001</v>
      </c>
      <c r="E307" s="2">
        <v>126313991.56999999</v>
      </c>
      <c r="F307" s="2">
        <v>114252545.52</v>
      </c>
      <c r="G307" s="2">
        <v>37524595.280000001</v>
      </c>
    </row>
    <row r="308" spans="1:7" x14ac:dyDescent="0.25">
      <c r="A308" s="1">
        <v>44927</v>
      </c>
      <c r="B308" t="s">
        <v>23</v>
      </c>
      <c r="C308" t="s">
        <v>57</v>
      </c>
      <c r="D308" s="2">
        <v>5331523175.5200005</v>
      </c>
      <c r="E308" s="2">
        <v>552229165.48000002</v>
      </c>
      <c r="F308" s="2">
        <v>209605422.56</v>
      </c>
      <c r="G308" s="2">
        <v>473444663.88999999</v>
      </c>
    </row>
    <row r="309" spans="1:7" x14ac:dyDescent="0.25">
      <c r="A309" s="1">
        <v>44927</v>
      </c>
      <c r="B309" t="s">
        <v>7</v>
      </c>
      <c r="C309" t="s">
        <v>100</v>
      </c>
      <c r="D309" s="2">
        <v>21005283860.740002</v>
      </c>
      <c r="E309" s="2">
        <v>2213746741.6700001</v>
      </c>
      <c r="F309" s="2">
        <v>571778825.38</v>
      </c>
      <c r="G309" s="2">
        <v>2484292718.29</v>
      </c>
    </row>
    <row r="310" spans="1:7" x14ac:dyDescent="0.25">
      <c r="A310" s="1">
        <v>44927</v>
      </c>
      <c r="B310" t="s">
        <v>54</v>
      </c>
      <c r="C310" t="s">
        <v>57</v>
      </c>
      <c r="D310" s="2">
        <v>51186836149.199997</v>
      </c>
      <c r="E310" s="2">
        <v>5075264319.9200001</v>
      </c>
      <c r="F310" s="2">
        <v>1410122481.73</v>
      </c>
      <c r="G310" s="2">
        <v>3341387302.29</v>
      </c>
    </row>
    <row r="311" spans="1:7" x14ac:dyDescent="0.25">
      <c r="A311" s="1">
        <v>44958</v>
      </c>
      <c r="B311" t="s">
        <v>27</v>
      </c>
      <c r="C311" t="s">
        <v>42</v>
      </c>
      <c r="D311">
        <v>0</v>
      </c>
      <c r="E311">
        <v>0</v>
      </c>
      <c r="F311">
        <v>0</v>
      </c>
      <c r="G311" s="2">
        <v>13100</v>
      </c>
    </row>
    <row r="312" spans="1:7" x14ac:dyDescent="0.25">
      <c r="A312" s="1">
        <v>44958</v>
      </c>
      <c r="B312" t="s">
        <v>36</v>
      </c>
      <c r="C312" t="s">
        <v>121</v>
      </c>
      <c r="D312">
        <v>0</v>
      </c>
      <c r="E312">
        <v>0</v>
      </c>
      <c r="F312">
        <v>0</v>
      </c>
      <c r="G312" s="2">
        <v>1677</v>
      </c>
    </row>
    <row r="313" spans="1:7" x14ac:dyDescent="0.25">
      <c r="A313" s="1">
        <v>44958</v>
      </c>
      <c r="B313" t="s">
        <v>9</v>
      </c>
      <c r="C313" t="s">
        <v>10</v>
      </c>
      <c r="D313" s="2">
        <v>756200</v>
      </c>
      <c r="E313" s="2">
        <v>52600</v>
      </c>
      <c r="F313" s="2">
        <v>52600</v>
      </c>
      <c r="G313" s="2">
        <v>145700</v>
      </c>
    </row>
    <row r="314" spans="1:7" x14ac:dyDescent="0.25">
      <c r="A314" s="1">
        <v>44958</v>
      </c>
      <c r="B314" t="s">
        <v>69</v>
      </c>
      <c r="C314" t="s">
        <v>78</v>
      </c>
      <c r="D314">
        <v>0</v>
      </c>
      <c r="E314">
        <v>0</v>
      </c>
      <c r="F314">
        <v>0</v>
      </c>
      <c r="G314" s="2">
        <v>4349.82</v>
      </c>
    </row>
    <row r="315" spans="1:7" x14ac:dyDescent="0.25">
      <c r="A315" s="1">
        <v>44958</v>
      </c>
      <c r="B315" t="s">
        <v>26</v>
      </c>
      <c r="C315" t="s">
        <v>22</v>
      </c>
      <c r="D315" s="2">
        <v>11408922.060000001</v>
      </c>
      <c r="E315" s="2">
        <v>5618557.4800000004</v>
      </c>
      <c r="F315" s="2">
        <v>5618557.4800000004</v>
      </c>
      <c r="G315" s="2">
        <v>4928.04</v>
      </c>
    </row>
    <row r="316" spans="1:7" x14ac:dyDescent="0.25">
      <c r="A316" s="1">
        <v>44958</v>
      </c>
      <c r="B316" t="s">
        <v>15</v>
      </c>
      <c r="C316" t="s">
        <v>50</v>
      </c>
      <c r="D316" s="2">
        <v>34457.75</v>
      </c>
      <c r="E316" s="2">
        <v>34454.75</v>
      </c>
      <c r="F316" s="2">
        <v>34454.75</v>
      </c>
      <c r="G316">
        <v>0</v>
      </c>
    </row>
    <row r="317" spans="1:7" x14ac:dyDescent="0.25">
      <c r="A317" s="1">
        <v>44958</v>
      </c>
      <c r="B317" t="s">
        <v>21</v>
      </c>
      <c r="C317" t="s">
        <v>39</v>
      </c>
      <c r="D317">
        <v>0</v>
      </c>
      <c r="E317">
        <v>0</v>
      </c>
      <c r="F317">
        <v>0</v>
      </c>
      <c r="G317">
        <v>321.11</v>
      </c>
    </row>
    <row r="318" spans="1:7" x14ac:dyDescent="0.25">
      <c r="A318" s="1">
        <v>44958</v>
      </c>
      <c r="B318" t="s">
        <v>21</v>
      </c>
      <c r="C318" t="s">
        <v>22</v>
      </c>
      <c r="D318">
        <v>0</v>
      </c>
      <c r="E318" s="2">
        <v>1016.07</v>
      </c>
      <c r="F318" s="2">
        <v>1016.07</v>
      </c>
      <c r="G318">
        <v>0</v>
      </c>
    </row>
    <row r="319" spans="1:7" x14ac:dyDescent="0.25">
      <c r="A319" s="1">
        <v>44958</v>
      </c>
      <c r="B319" t="s">
        <v>23</v>
      </c>
      <c r="C319" t="s">
        <v>24</v>
      </c>
      <c r="D319" s="2">
        <v>880291.27</v>
      </c>
      <c r="E319" s="2">
        <v>76241.149999999994</v>
      </c>
      <c r="F319" s="2">
        <v>75986.12</v>
      </c>
      <c r="G319" s="2">
        <v>702453.59</v>
      </c>
    </row>
    <row r="320" spans="1:7" x14ac:dyDescent="0.25">
      <c r="A320" s="1">
        <v>44958</v>
      </c>
      <c r="B320" t="s">
        <v>15</v>
      </c>
      <c r="C320" t="s">
        <v>22</v>
      </c>
      <c r="D320">
        <v>0</v>
      </c>
      <c r="E320" s="2">
        <v>4057173.2</v>
      </c>
      <c r="F320" s="2">
        <v>4061889.14</v>
      </c>
      <c r="G320">
        <v>0</v>
      </c>
    </row>
    <row r="321" spans="1:7" x14ac:dyDescent="0.25">
      <c r="A321" s="1">
        <v>44958</v>
      </c>
      <c r="B321" t="s">
        <v>23</v>
      </c>
      <c r="C321" t="s">
        <v>58</v>
      </c>
      <c r="D321" s="2">
        <v>156138.78</v>
      </c>
      <c r="E321" s="2">
        <v>156138.78</v>
      </c>
      <c r="F321" s="2">
        <v>156138.78</v>
      </c>
      <c r="G321" s="2">
        <v>2287293</v>
      </c>
    </row>
    <row r="322" spans="1:7" x14ac:dyDescent="0.25">
      <c r="A322" s="1">
        <v>44958</v>
      </c>
      <c r="B322" t="s">
        <v>27</v>
      </c>
      <c r="C322" t="s">
        <v>22</v>
      </c>
      <c r="D322">
        <v>0</v>
      </c>
      <c r="E322" s="2">
        <v>24720822.82</v>
      </c>
      <c r="F322" s="2">
        <v>24720822.82</v>
      </c>
      <c r="G322">
        <v>0</v>
      </c>
    </row>
    <row r="323" spans="1:7" x14ac:dyDescent="0.25">
      <c r="A323" s="1">
        <v>44958</v>
      </c>
      <c r="B323" t="s">
        <v>28</v>
      </c>
      <c r="C323" t="s">
        <v>29</v>
      </c>
      <c r="D323" s="2">
        <v>128465343.86</v>
      </c>
      <c r="E323" s="2">
        <v>128382621.90000001</v>
      </c>
      <c r="F323" s="2">
        <v>126448613.69</v>
      </c>
      <c r="G323" s="2">
        <v>908551.93</v>
      </c>
    </row>
    <row r="324" spans="1:7" x14ac:dyDescent="0.25">
      <c r="A324" s="1">
        <v>44958</v>
      </c>
      <c r="B324" t="s">
        <v>65</v>
      </c>
      <c r="C324" t="s">
        <v>73</v>
      </c>
      <c r="D324" s="2">
        <v>1861982510.1900001</v>
      </c>
      <c r="E324" s="2">
        <v>1861982510.1900001</v>
      </c>
      <c r="F324" s="2">
        <v>1861982510.1900001</v>
      </c>
      <c r="G324" s="2">
        <v>31148.93</v>
      </c>
    </row>
    <row r="325" spans="1:7" x14ac:dyDescent="0.25">
      <c r="A325" s="1">
        <v>44958</v>
      </c>
      <c r="B325" t="s">
        <v>62</v>
      </c>
      <c r="C325" t="s">
        <v>78</v>
      </c>
      <c r="D325">
        <v>0</v>
      </c>
      <c r="E325">
        <v>0</v>
      </c>
      <c r="F325">
        <v>0</v>
      </c>
      <c r="G325" s="2">
        <v>8374.35</v>
      </c>
    </row>
    <row r="326" spans="1:7" x14ac:dyDescent="0.25">
      <c r="A326" s="1">
        <v>44958</v>
      </c>
      <c r="B326" t="s">
        <v>11</v>
      </c>
      <c r="C326" t="s">
        <v>22</v>
      </c>
      <c r="D326" s="2">
        <v>9569340</v>
      </c>
      <c r="E326" s="2">
        <v>11630272.99</v>
      </c>
      <c r="F326" s="2">
        <v>11630272.99</v>
      </c>
      <c r="G326">
        <v>0</v>
      </c>
    </row>
    <row r="327" spans="1:7" x14ac:dyDescent="0.25">
      <c r="A327" s="1">
        <v>44958</v>
      </c>
      <c r="B327" t="s">
        <v>17</v>
      </c>
      <c r="C327" t="s">
        <v>59</v>
      </c>
      <c r="D327">
        <v>0</v>
      </c>
      <c r="E327" s="2">
        <v>17569.080000000002</v>
      </c>
      <c r="F327" s="2">
        <v>17569.080000000002</v>
      </c>
      <c r="G327">
        <v>141.32</v>
      </c>
    </row>
    <row r="328" spans="1:7" x14ac:dyDescent="0.25">
      <c r="A328" s="1">
        <v>44958</v>
      </c>
      <c r="B328" t="s">
        <v>47</v>
      </c>
      <c r="C328" t="s">
        <v>103</v>
      </c>
      <c r="D328">
        <v>0</v>
      </c>
      <c r="E328">
        <v>0</v>
      </c>
      <c r="F328">
        <v>0</v>
      </c>
      <c r="G328" s="2">
        <v>3216727.02</v>
      </c>
    </row>
    <row r="329" spans="1:7" x14ac:dyDescent="0.25">
      <c r="A329" s="1">
        <v>44958</v>
      </c>
      <c r="B329" t="s">
        <v>15</v>
      </c>
      <c r="C329" t="s">
        <v>51</v>
      </c>
      <c r="D329" s="2">
        <v>-3608584</v>
      </c>
      <c r="E329">
        <v>602.73</v>
      </c>
      <c r="F329">
        <v>602.73</v>
      </c>
      <c r="G329" s="2">
        <v>30844.28</v>
      </c>
    </row>
    <row r="330" spans="1:7" x14ac:dyDescent="0.25">
      <c r="A330" s="1">
        <v>44958</v>
      </c>
      <c r="B330" t="s">
        <v>11</v>
      </c>
      <c r="C330" t="s">
        <v>78</v>
      </c>
      <c r="D330">
        <v>0</v>
      </c>
      <c r="E330">
        <v>0</v>
      </c>
      <c r="F330">
        <v>0</v>
      </c>
      <c r="G330" s="2">
        <v>15536.63</v>
      </c>
    </row>
    <row r="331" spans="1:7" x14ac:dyDescent="0.25">
      <c r="A331" s="1">
        <v>44958</v>
      </c>
      <c r="B331" t="s">
        <v>33</v>
      </c>
      <c r="C331" t="s">
        <v>34</v>
      </c>
      <c r="D331" s="2">
        <v>-500000</v>
      </c>
      <c r="E331" s="2">
        <v>277704.78999999998</v>
      </c>
      <c r="F331" s="2">
        <v>277704.78999999998</v>
      </c>
      <c r="G331" s="2">
        <v>967072.9</v>
      </c>
    </row>
    <row r="332" spans="1:7" x14ac:dyDescent="0.25">
      <c r="A332" s="1">
        <v>44958</v>
      </c>
      <c r="B332" t="s">
        <v>37</v>
      </c>
      <c r="C332" t="s">
        <v>70</v>
      </c>
      <c r="D332">
        <v>0</v>
      </c>
      <c r="E332">
        <v>0</v>
      </c>
      <c r="F332">
        <v>0</v>
      </c>
      <c r="G332" s="2">
        <v>26990</v>
      </c>
    </row>
    <row r="333" spans="1:7" x14ac:dyDescent="0.25">
      <c r="A333" s="1">
        <v>44958</v>
      </c>
      <c r="B333" t="s">
        <v>36</v>
      </c>
      <c r="C333" t="s">
        <v>14</v>
      </c>
      <c r="D333">
        <v>0</v>
      </c>
      <c r="E333">
        <v>0</v>
      </c>
      <c r="F333">
        <v>0</v>
      </c>
      <c r="G333" s="2">
        <v>17093208.93</v>
      </c>
    </row>
    <row r="334" spans="1:7" x14ac:dyDescent="0.25">
      <c r="A334" s="1">
        <v>44958</v>
      </c>
      <c r="B334" t="s">
        <v>21</v>
      </c>
      <c r="C334" t="s">
        <v>103</v>
      </c>
      <c r="D334">
        <v>0</v>
      </c>
      <c r="E334">
        <v>0</v>
      </c>
      <c r="F334">
        <v>0</v>
      </c>
      <c r="G334" s="2">
        <v>115316.75</v>
      </c>
    </row>
    <row r="335" spans="1:7" x14ac:dyDescent="0.25">
      <c r="A335" s="1">
        <v>44958</v>
      </c>
      <c r="B335" t="s">
        <v>15</v>
      </c>
      <c r="C335" t="s">
        <v>30</v>
      </c>
      <c r="D335" s="2">
        <v>35584.89</v>
      </c>
      <c r="E335" s="2">
        <v>562865.30000000005</v>
      </c>
      <c r="F335" s="2">
        <v>72776.31</v>
      </c>
      <c r="G335" s="2">
        <v>136250</v>
      </c>
    </row>
    <row r="336" spans="1:7" x14ac:dyDescent="0.25">
      <c r="A336" s="1">
        <v>44958</v>
      </c>
      <c r="B336" t="s">
        <v>28</v>
      </c>
      <c r="C336" t="s">
        <v>75</v>
      </c>
      <c r="D336" s="2">
        <v>70000</v>
      </c>
      <c r="E336" s="2">
        <v>303472.12</v>
      </c>
      <c r="F336" s="2">
        <v>20933.490000000002</v>
      </c>
      <c r="G336">
        <v>0</v>
      </c>
    </row>
    <row r="337" spans="1:7" x14ac:dyDescent="0.25">
      <c r="A337" s="1">
        <v>44958</v>
      </c>
      <c r="B337" t="s">
        <v>17</v>
      </c>
      <c r="C337" t="s">
        <v>22</v>
      </c>
      <c r="D337" s="2">
        <v>20000000</v>
      </c>
      <c r="E337" s="2">
        <v>14424013</v>
      </c>
      <c r="F337" s="2">
        <v>14424013</v>
      </c>
      <c r="G337">
        <v>0</v>
      </c>
    </row>
    <row r="338" spans="1:7" x14ac:dyDescent="0.25">
      <c r="A338" s="1">
        <v>44958</v>
      </c>
      <c r="B338" t="s">
        <v>15</v>
      </c>
      <c r="C338" t="s">
        <v>19</v>
      </c>
      <c r="D338">
        <v>0</v>
      </c>
      <c r="E338">
        <v>0</v>
      </c>
      <c r="F338">
        <v>0</v>
      </c>
      <c r="G338" s="2">
        <v>55289.85</v>
      </c>
    </row>
    <row r="339" spans="1:7" x14ac:dyDescent="0.25">
      <c r="A339" s="1">
        <v>44958</v>
      </c>
      <c r="B339" t="s">
        <v>23</v>
      </c>
      <c r="C339" t="s">
        <v>22</v>
      </c>
      <c r="D339" s="2">
        <v>2000000</v>
      </c>
      <c r="E339" s="2">
        <v>76110646.819999993</v>
      </c>
      <c r="F339" s="2">
        <v>76110646.819999993</v>
      </c>
      <c r="G339">
        <v>0</v>
      </c>
    </row>
    <row r="340" spans="1:7" x14ac:dyDescent="0.25">
      <c r="A340" s="1">
        <v>44958</v>
      </c>
      <c r="B340" t="s">
        <v>11</v>
      </c>
      <c r="C340" t="s">
        <v>12</v>
      </c>
      <c r="D340">
        <v>0</v>
      </c>
      <c r="E340">
        <v>0</v>
      </c>
      <c r="F340" s="2">
        <v>23535.599999999999</v>
      </c>
      <c r="G340" s="2">
        <v>374888.38</v>
      </c>
    </row>
    <row r="341" spans="1:7" x14ac:dyDescent="0.25">
      <c r="A341" s="1">
        <v>44958</v>
      </c>
      <c r="B341" t="s">
        <v>65</v>
      </c>
      <c r="C341" t="s">
        <v>12</v>
      </c>
      <c r="D341">
        <v>0</v>
      </c>
      <c r="E341">
        <v>0</v>
      </c>
      <c r="F341">
        <v>0</v>
      </c>
      <c r="G341" s="2">
        <v>105639.51</v>
      </c>
    </row>
    <row r="342" spans="1:7" x14ac:dyDescent="0.25">
      <c r="A342" s="1">
        <v>44958</v>
      </c>
      <c r="B342" t="s">
        <v>13</v>
      </c>
      <c r="C342" t="s">
        <v>16</v>
      </c>
      <c r="D342" s="2">
        <v>277032</v>
      </c>
      <c r="E342">
        <v>0</v>
      </c>
      <c r="F342">
        <v>0</v>
      </c>
      <c r="G342">
        <v>0</v>
      </c>
    </row>
    <row r="343" spans="1:7" x14ac:dyDescent="0.25">
      <c r="A343" s="1">
        <v>44958</v>
      </c>
      <c r="B343" t="s">
        <v>52</v>
      </c>
      <c r="C343" t="s">
        <v>66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 s="1">
        <v>44958</v>
      </c>
      <c r="B344" t="s">
        <v>21</v>
      </c>
      <c r="C344" t="s">
        <v>75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 s="1">
        <v>44958</v>
      </c>
      <c r="B345" t="s">
        <v>52</v>
      </c>
      <c r="C345" t="s">
        <v>12</v>
      </c>
      <c r="D345" s="2">
        <v>-10900</v>
      </c>
      <c r="E345">
        <v>0</v>
      </c>
      <c r="F345">
        <v>0</v>
      </c>
      <c r="G345" s="2">
        <v>80219.839999999997</v>
      </c>
    </row>
    <row r="346" spans="1:7" x14ac:dyDescent="0.25">
      <c r="A346" s="1">
        <v>44958</v>
      </c>
      <c r="B346" t="s">
        <v>47</v>
      </c>
      <c r="C346" t="s">
        <v>22</v>
      </c>
      <c r="D346" s="2">
        <v>1550000</v>
      </c>
      <c r="E346" s="2">
        <v>3948124.18</v>
      </c>
      <c r="F346" s="2">
        <v>143695.07999999999</v>
      </c>
      <c r="G346">
        <v>0</v>
      </c>
    </row>
    <row r="347" spans="1:7" x14ac:dyDescent="0.25">
      <c r="A347" s="1">
        <v>44958</v>
      </c>
      <c r="B347" t="s">
        <v>23</v>
      </c>
      <c r="C347" t="s">
        <v>16</v>
      </c>
      <c r="D347">
        <v>0</v>
      </c>
      <c r="E347">
        <v>0</v>
      </c>
      <c r="F347">
        <v>0</v>
      </c>
      <c r="G347" s="2">
        <v>15837890.449999999</v>
      </c>
    </row>
    <row r="348" spans="1:7" x14ac:dyDescent="0.25">
      <c r="A348" s="1">
        <v>44958</v>
      </c>
      <c r="B348" t="s">
        <v>13</v>
      </c>
      <c r="C348" t="s">
        <v>59</v>
      </c>
      <c r="D348" s="2">
        <v>40000</v>
      </c>
      <c r="E348" s="2">
        <v>38498.68</v>
      </c>
      <c r="F348" s="2">
        <v>38498.68</v>
      </c>
      <c r="G348" s="2">
        <v>46188.41</v>
      </c>
    </row>
    <row r="349" spans="1:7" x14ac:dyDescent="0.25">
      <c r="A349" s="1">
        <v>44958</v>
      </c>
      <c r="B349" t="s">
        <v>7</v>
      </c>
      <c r="C349" t="s">
        <v>130</v>
      </c>
      <c r="D349">
        <v>0</v>
      </c>
      <c r="E349">
        <v>0</v>
      </c>
      <c r="F349">
        <v>0</v>
      </c>
      <c r="G349" s="2">
        <v>115764065.78</v>
      </c>
    </row>
    <row r="350" spans="1:7" x14ac:dyDescent="0.25">
      <c r="A350" s="1">
        <v>44958</v>
      </c>
      <c r="B350" t="s">
        <v>23</v>
      </c>
      <c r="C350" t="s">
        <v>90</v>
      </c>
      <c r="D350" s="2">
        <v>50000</v>
      </c>
      <c r="E350">
        <v>0</v>
      </c>
      <c r="F350">
        <v>0</v>
      </c>
      <c r="G350">
        <v>0</v>
      </c>
    </row>
    <row r="351" spans="1:7" x14ac:dyDescent="0.25">
      <c r="A351" s="1">
        <v>44958</v>
      </c>
      <c r="B351" t="s">
        <v>31</v>
      </c>
      <c r="C351" t="s">
        <v>53</v>
      </c>
      <c r="D351" s="2">
        <v>1574831486.52</v>
      </c>
      <c r="E351" s="2">
        <v>1574831486.52</v>
      </c>
      <c r="F351" s="2">
        <v>1574831486.52</v>
      </c>
      <c r="G351">
        <v>0</v>
      </c>
    </row>
    <row r="352" spans="1:7" x14ac:dyDescent="0.25">
      <c r="A352" s="1">
        <v>44958</v>
      </c>
      <c r="B352" t="s">
        <v>27</v>
      </c>
      <c r="C352" t="s">
        <v>56</v>
      </c>
      <c r="D352" s="2">
        <v>57398.19</v>
      </c>
      <c r="E352">
        <v>0</v>
      </c>
      <c r="F352">
        <v>0</v>
      </c>
      <c r="G352" s="2">
        <v>18807.37</v>
      </c>
    </row>
    <row r="353" spans="1:7" x14ac:dyDescent="0.25">
      <c r="A353" s="1">
        <v>44958</v>
      </c>
      <c r="B353" t="s">
        <v>69</v>
      </c>
      <c r="C353" t="s">
        <v>12</v>
      </c>
      <c r="D353" s="2">
        <v>27566.67</v>
      </c>
      <c r="E353" s="2">
        <v>32820</v>
      </c>
      <c r="F353" s="2">
        <v>32820</v>
      </c>
      <c r="G353">
        <v>0</v>
      </c>
    </row>
    <row r="354" spans="1:7" x14ac:dyDescent="0.25">
      <c r="A354" s="1">
        <v>44958</v>
      </c>
      <c r="B354" t="s">
        <v>54</v>
      </c>
      <c r="C354" t="s">
        <v>8</v>
      </c>
      <c r="D354" s="2">
        <v>-1500</v>
      </c>
      <c r="E354" s="2">
        <v>4377.0600000000004</v>
      </c>
      <c r="F354" s="2">
        <v>4377.0600000000004</v>
      </c>
      <c r="G354" s="2">
        <v>30241</v>
      </c>
    </row>
    <row r="355" spans="1:7" x14ac:dyDescent="0.25">
      <c r="A355" s="1">
        <v>44958</v>
      </c>
      <c r="B355" t="s">
        <v>15</v>
      </c>
      <c r="C355" t="s">
        <v>60</v>
      </c>
      <c r="D355" s="2">
        <v>3934778.18</v>
      </c>
      <c r="E355" s="2">
        <v>3214404.22</v>
      </c>
      <c r="F355" s="2">
        <v>3673912.06</v>
      </c>
      <c r="G355" s="2">
        <v>38853.410000000003</v>
      </c>
    </row>
    <row r="356" spans="1:7" x14ac:dyDescent="0.25">
      <c r="A356" s="1">
        <v>44958</v>
      </c>
      <c r="B356" t="s">
        <v>9</v>
      </c>
      <c r="C356" t="s">
        <v>22</v>
      </c>
      <c r="D356">
        <v>0</v>
      </c>
      <c r="E356" s="2">
        <v>105116349.13</v>
      </c>
      <c r="F356" s="2">
        <v>105106029.09</v>
      </c>
      <c r="G356" s="2">
        <v>28739.72</v>
      </c>
    </row>
    <row r="357" spans="1:7" x14ac:dyDescent="0.25">
      <c r="A357" s="1">
        <v>44958</v>
      </c>
      <c r="B357" t="s">
        <v>43</v>
      </c>
      <c r="C357" t="s">
        <v>61</v>
      </c>
      <c r="D357" s="2">
        <v>915423.22</v>
      </c>
      <c r="E357" s="2">
        <v>15621.42</v>
      </c>
      <c r="F357" s="2">
        <v>15621.42</v>
      </c>
      <c r="G357" s="2">
        <v>955359.74</v>
      </c>
    </row>
    <row r="358" spans="1:7" x14ac:dyDescent="0.25">
      <c r="A358" s="1">
        <v>44958</v>
      </c>
      <c r="B358" t="s">
        <v>13</v>
      </c>
      <c r="C358" t="s">
        <v>20</v>
      </c>
      <c r="D358" s="2">
        <v>49132.98</v>
      </c>
      <c r="E358">
        <v>0</v>
      </c>
      <c r="F358">
        <v>0</v>
      </c>
      <c r="G358" s="2">
        <v>235300</v>
      </c>
    </row>
    <row r="359" spans="1:7" x14ac:dyDescent="0.25">
      <c r="A359" s="1">
        <v>44958</v>
      </c>
      <c r="B359" t="s">
        <v>36</v>
      </c>
      <c r="C359" t="s">
        <v>72</v>
      </c>
      <c r="D359">
        <v>0</v>
      </c>
      <c r="E359">
        <v>0</v>
      </c>
      <c r="F359">
        <v>0</v>
      </c>
      <c r="G359">
        <v>8.5500000000000007</v>
      </c>
    </row>
    <row r="360" spans="1:7" x14ac:dyDescent="0.25">
      <c r="A360" s="1">
        <v>44958</v>
      </c>
      <c r="B360" t="s">
        <v>28</v>
      </c>
      <c r="C360" t="s">
        <v>25</v>
      </c>
      <c r="D360">
        <v>0</v>
      </c>
      <c r="E360">
        <v>0</v>
      </c>
      <c r="F360">
        <v>0</v>
      </c>
      <c r="G360" s="2">
        <v>75282.75</v>
      </c>
    </row>
    <row r="361" spans="1:7" x14ac:dyDescent="0.25">
      <c r="A361" s="1">
        <v>44958</v>
      </c>
      <c r="B361" t="s">
        <v>33</v>
      </c>
      <c r="C361" t="s">
        <v>16</v>
      </c>
      <c r="D361">
        <v>0</v>
      </c>
      <c r="E361">
        <v>0</v>
      </c>
      <c r="F361">
        <v>0</v>
      </c>
      <c r="G361" s="2">
        <v>3076694.36</v>
      </c>
    </row>
    <row r="362" spans="1:7" x14ac:dyDescent="0.25">
      <c r="A362" s="1">
        <v>44958</v>
      </c>
      <c r="B362" t="s">
        <v>43</v>
      </c>
      <c r="C362" t="s">
        <v>34</v>
      </c>
      <c r="D362">
        <v>0</v>
      </c>
      <c r="E362">
        <v>0</v>
      </c>
      <c r="F362">
        <v>0</v>
      </c>
      <c r="G362" s="2">
        <v>2397771.86</v>
      </c>
    </row>
    <row r="363" spans="1:7" x14ac:dyDescent="0.25">
      <c r="A363" s="1">
        <v>44958</v>
      </c>
      <c r="B363" t="s">
        <v>37</v>
      </c>
      <c r="C363" t="s">
        <v>49</v>
      </c>
      <c r="D363">
        <v>0</v>
      </c>
      <c r="E363">
        <v>0</v>
      </c>
      <c r="F363">
        <v>0</v>
      </c>
      <c r="G363" s="2">
        <v>4023079</v>
      </c>
    </row>
    <row r="364" spans="1:7" x14ac:dyDescent="0.25">
      <c r="A364" s="1">
        <v>44958</v>
      </c>
      <c r="B364" t="s">
        <v>65</v>
      </c>
      <c r="C364" t="s">
        <v>14</v>
      </c>
      <c r="D364">
        <v>0</v>
      </c>
      <c r="E364">
        <v>0</v>
      </c>
      <c r="F364">
        <v>0</v>
      </c>
      <c r="G364" s="2">
        <v>667661.53</v>
      </c>
    </row>
    <row r="365" spans="1:7" x14ac:dyDescent="0.25">
      <c r="A365" s="1">
        <v>44958</v>
      </c>
      <c r="B365" t="s">
        <v>33</v>
      </c>
      <c r="C365" t="s">
        <v>67</v>
      </c>
      <c r="D365" s="2">
        <v>2854368.09</v>
      </c>
      <c r="E365" s="2">
        <v>658994.92000000004</v>
      </c>
      <c r="F365" s="2">
        <v>635717.5</v>
      </c>
      <c r="G365" s="2">
        <v>2803725.88</v>
      </c>
    </row>
    <row r="366" spans="1:7" x14ac:dyDescent="0.25">
      <c r="A366" s="1">
        <v>44958</v>
      </c>
      <c r="B366" t="s">
        <v>17</v>
      </c>
      <c r="C366" t="s">
        <v>18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 s="1">
        <v>44958</v>
      </c>
      <c r="B367" t="s">
        <v>52</v>
      </c>
      <c r="C367" t="s">
        <v>16</v>
      </c>
      <c r="D367">
        <v>0</v>
      </c>
      <c r="E367">
        <v>0</v>
      </c>
      <c r="F367">
        <v>0</v>
      </c>
      <c r="G367" s="2">
        <v>3700</v>
      </c>
    </row>
    <row r="368" spans="1:7" x14ac:dyDescent="0.25">
      <c r="A368" s="1">
        <v>44958</v>
      </c>
      <c r="B368" t="s">
        <v>28</v>
      </c>
      <c r="C368" t="s">
        <v>14</v>
      </c>
      <c r="D368" s="2">
        <v>64532.57</v>
      </c>
      <c r="E368" s="2">
        <v>64532.57</v>
      </c>
      <c r="F368" s="2">
        <v>33529180.18</v>
      </c>
      <c r="G368" s="2">
        <v>2325147.86</v>
      </c>
    </row>
    <row r="369" spans="1:7" x14ac:dyDescent="0.25">
      <c r="A369" s="1">
        <v>44958</v>
      </c>
      <c r="B369" t="s">
        <v>9</v>
      </c>
      <c r="C369" t="s">
        <v>78</v>
      </c>
      <c r="D369">
        <v>0</v>
      </c>
      <c r="E369">
        <v>0</v>
      </c>
      <c r="F369">
        <v>0</v>
      </c>
      <c r="G369" s="2">
        <v>118473.94</v>
      </c>
    </row>
    <row r="370" spans="1:7" x14ac:dyDescent="0.25">
      <c r="A370" s="1">
        <v>44958</v>
      </c>
      <c r="B370" t="s">
        <v>17</v>
      </c>
      <c r="C370" t="s">
        <v>66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 s="1">
        <v>44958</v>
      </c>
      <c r="B371" t="s">
        <v>47</v>
      </c>
      <c r="C371" t="s">
        <v>78</v>
      </c>
      <c r="D371">
        <v>0</v>
      </c>
      <c r="E371">
        <v>0</v>
      </c>
      <c r="F371">
        <v>0</v>
      </c>
      <c r="G371" s="2">
        <v>76928.100000000006</v>
      </c>
    </row>
    <row r="372" spans="1:7" x14ac:dyDescent="0.25">
      <c r="A372" s="1">
        <v>44958</v>
      </c>
      <c r="B372" t="s">
        <v>62</v>
      </c>
      <c r="C372" t="s">
        <v>22</v>
      </c>
      <c r="D372" s="2">
        <v>36620132.149999999</v>
      </c>
      <c r="E372" s="2">
        <v>4170494.15</v>
      </c>
      <c r="F372" s="2">
        <v>3357738.25</v>
      </c>
      <c r="G372" s="2">
        <v>1656.76</v>
      </c>
    </row>
    <row r="373" spans="1:7" x14ac:dyDescent="0.25">
      <c r="A373" s="1">
        <v>44958</v>
      </c>
      <c r="B373" t="s">
        <v>11</v>
      </c>
      <c r="C373" t="s">
        <v>55</v>
      </c>
      <c r="D373" s="2">
        <v>2346047.06</v>
      </c>
      <c r="E373" s="2">
        <v>513686.1</v>
      </c>
      <c r="F373" s="2">
        <v>484957.84</v>
      </c>
      <c r="G373" s="2">
        <v>42838.65</v>
      </c>
    </row>
    <row r="374" spans="1:7" x14ac:dyDescent="0.25">
      <c r="A374" s="1">
        <v>44958</v>
      </c>
      <c r="B374" t="s">
        <v>54</v>
      </c>
      <c r="C374" t="s">
        <v>74</v>
      </c>
      <c r="D374">
        <v>0</v>
      </c>
      <c r="E374">
        <v>0</v>
      </c>
      <c r="F374">
        <v>0</v>
      </c>
      <c r="G374" s="2">
        <v>27193.97</v>
      </c>
    </row>
    <row r="375" spans="1:7" x14ac:dyDescent="0.25">
      <c r="A375" s="1">
        <v>44958</v>
      </c>
      <c r="B375" t="s">
        <v>27</v>
      </c>
      <c r="C375" t="s">
        <v>57</v>
      </c>
      <c r="D375" s="2">
        <v>380790.31</v>
      </c>
      <c r="E375" s="2">
        <v>154951.89000000001</v>
      </c>
      <c r="F375" s="2">
        <v>143565.26</v>
      </c>
      <c r="G375" s="2">
        <v>13903.48</v>
      </c>
    </row>
    <row r="376" spans="1:7" x14ac:dyDescent="0.25">
      <c r="A376" s="1">
        <v>44958</v>
      </c>
      <c r="B376" t="s">
        <v>21</v>
      </c>
      <c r="C376" t="s">
        <v>72</v>
      </c>
      <c r="D376">
        <v>0</v>
      </c>
      <c r="E376">
        <v>-458</v>
      </c>
      <c r="F376" s="2">
        <v>536714.01</v>
      </c>
      <c r="G376">
        <v>0</v>
      </c>
    </row>
    <row r="377" spans="1:7" x14ac:dyDescent="0.25">
      <c r="A377" s="1">
        <v>44958</v>
      </c>
      <c r="B377" t="s">
        <v>47</v>
      </c>
      <c r="C377" t="s">
        <v>14</v>
      </c>
      <c r="D377">
        <v>0</v>
      </c>
      <c r="E377">
        <v>0</v>
      </c>
      <c r="F377">
        <v>0</v>
      </c>
      <c r="G377" s="2">
        <v>12679.33</v>
      </c>
    </row>
    <row r="378" spans="1:7" x14ac:dyDescent="0.25">
      <c r="A378" s="1">
        <v>44958</v>
      </c>
      <c r="B378" t="s">
        <v>17</v>
      </c>
      <c r="C378" t="s">
        <v>68</v>
      </c>
      <c r="D378">
        <v>0</v>
      </c>
      <c r="E378">
        <v>0</v>
      </c>
      <c r="F378">
        <v>0</v>
      </c>
      <c r="G378" s="2">
        <v>222800</v>
      </c>
    </row>
    <row r="379" spans="1:7" x14ac:dyDescent="0.25">
      <c r="A379" s="1">
        <v>44958</v>
      </c>
      <c r="B379" t="s">
        <v>28</v>
      </c>
      <c r="C379" t="s">
        <v>22</v>
      </c>
      <c r="D379" s="2">
        <v>52725.36</v>
      </c>
      <c r="E379" s="2">
        <v>41933553.420000002</v>
      </c>
      <c r="F379" s="2">
        <v>41936229.780000001</v>
      </c>
      <c r="G379">
        <v>0</v>
      </c>
    </row>
    <row r="380" spans="1:7" x14ac:dyDescent="0.25">
      <c r="A380" s="1">
        <v>44958</v>
      </c>
      <c r="B380" t="s">
        <v>31</v>
      </c>
      <c r="C380" t="s">
        <v>82</v>
      </c>
      <c r="D380" s="2">
        <v>500000000</v>
      </c>
      <c r="E380" s="2">
        <v>2408136426.9200001</v>
      </c>
      <c r="F380" s="2">
        <v>2408136426.9200001</v>
      </c>
      <c r="G380">
        <v>0</v>
      </c>
    </row>
    <row r="381" spans="1:7" x14ac:dyDescent="0.25">
      <c r="A381" s="1">
        <v>44958</v>
      </c>
      <c r="B381" t="s">
        <v>23</v>
      </c>
      <c r="C381" t="s">
        <v>64</v>
      </c>
      <c r="D381" s="2">
        <v>455225.72</v>
      </c>
      <c r="E381" s="2">
        <v>943510.99</v>
      </c>
      <c r="F381" s="2">
        <v>220772.47</v>
      </c>
      <c r="G381" s="2">
        <v>73011.63</v>
      </c>
    </row>
    <row r="382" spans="1:7" x14ac:dyDescent="0.25">
      <c r="A382" s="1">
        <v>44958</v>
      </c>
      <c r="B382" t="s">
        <v>27</v>
      </c>
      <c r="C382" t="s">
        <v>78</v>
      </c>
      <c r="D382">
        <v>0</v>
      </c>
      <c r="E382">
        <v>0</v>
      </c>
      <c r="F382">
        <v>0</v>
      </c>
      <c r="G382" s="2">
        <v>1278909.76</v>
      </c>
    </row>
    <row r="383" spans="1:7" x14ac:dyDescent="0.25">
      <c r="A383" s="1">
        <v>44958</v>
      </c>
      <c r="B383" t="s">
        <v>36</v>
      </c>
      <c r="C383" t="s">
        <v>57</v>
      </c>
      <c r="D383" s="2">
        <v>10876290.98</v>
      </c>
      <c r="E383" s="2">
        <v>2187429.7400000002</v>
      </c>
      <c r="F383" s="2">
        <v>2191526.71</v>
      </c>
      <c r="G383" s="2">
        <v>4627069.74</v>
      </c>
    </row>
    <row r="384" spans="1:7" x14ac:dyDescent="0.25">
      <c r="A384" s="1">
        <v>44958</v>
      </c>
      <c r="B384" t="s">
        <v>41</v>
      </c>
      <c r="C384" t="s">
        <v>42</v>
      </c>
      <c r="D384">
        <v>0</v>
      </c>
      <c r="E384">
        <v>0</v>
      </c>
      <c r="F384">
        <v>0</v>
      </c>
      <c r="G384" s="2">
        <v>7900</v>
      </c>
    </row>
    <row r="385" spans="1:7" x14ac:dyDescent="0.25">
      <c r="A385" s="1">
        <v>44958</v>
      </c>
      <c r="B385" t="s">
        <v>36</v>
      </c>
      <c r="C385" t="s">
        <v>38</v>
      </c>
      <c r="D385" s="2">
        <v>915000</v>
      </c>
      <c r="E385" s="2">
        <v>3898665650.2399998</v>
      </c>
      <c r="F385" s="2">
        <v>3862448994.02</v>
      </c>
      <c r="G385">
        <v>0</v>
      </c>
    </row>
    <row r="386" spans="1:7" x14ac:dyDescent="0.25">
      <c r="A386" s="1">
        <v>44958</v>
      </c>
      <c r="B386" t="s">
        <v>54</v>
      </c>
      <c r="C386" t="s">
        <v>79</v>
      </c>
      <c r="D386" s="2">
        <v>96736.92</v>
      </c>
      <c r="E386" s="2">
        <v>93217.81</v>
      </c>
      <c r="F386" s="2">
        <v>74392.58</v>
      </c>
      <c r="G386" s="2">
        <v>20769.48</v>
      </c>
    </row>
    <row r="387" spans="1:7" x14ac:dyDescent="0.25">
      <c r="A387" s="1">
        <v>44958</v>
      </c>
      <c r="B387" t="s">
        <v>33</v>
      </c>
      <c r="C387" t="s">
        <v>55</v>
      </c>
      <c r="D387" s="2">
        <v>42486.98</v>
      </c>
      <c r="E387">
        <v>0</v>
      </c>
      <c r="F387">
        <v>0</v>
      </c>
      <c r="G387" s="2">
        <v>120075.08</v>
      </c>
    </row>
    <row r="388" spans="1:7" x14ac:dyDescent="0.25">
      <c r="A388" s="1">
        <v>44958</v>
      </c>
      <c r="B388" t="s">
        <v>7</v>
      </c>
      <c r="C388" t="s">
        <v>8</v>
      </c>
      <c r="D388">
        <v>0</v>
      </c>
      <c r="E388">
        <v>0</v>
      </c>
      <c r="F388">
        <v>0</v>
      </c>
      <c r="G388" s="2">
        <v>7697990.6799999997</v>
      </c>
    </row>
    <row r="389" spans="1:7" x14ac:dyDescent="0.25">
      <c r="A389" s="1">
        <v>44958</v>
      </c>
      <c r="B389" t="s">
        <v>83</v>
      </c>
      <c r="C389" t="s">
        <v>131</v>
      </c>
      <c r="D389">
        <v>0</v>
      </c>
      <c r="E389">
        <v>0</v>
      </c>
      <c r="F389">
        <v>0</v>
      </c>
      <c r="G389" s="2">
        <v>4956.05</v>
      </c>
    </row>
    <row r="390" spans="1:7" x14ac:dyDescent="0.25">
      <c r="A390" s="1">
        <v>44958</v>
      </c>
      <c r="B390" t="s">
        <v>13</v>
      </c>
      <c r="C390" t="s">
        <v>12</v>
      </c>
      <c r="D390" s="2">
        <v>324958.76</v>
      </c>
      <c r="E390" s="2">
        <v>324200</v>
      </c>
      <c r="F390" s="2">
        <v>322700</v>
      </c>
      <c r="G390" s="2">
        <v>2681.92</v>
      </c>
    </row>
    <row r="391" spans="1:7" x14ac:dyDescent="0.25">
      <c r="A391" s="1">
        <v>44958</v>
      </c>
      <c r="B391" t="s">
        <v>7</v>
      </c>
      <c r="C391" t="s">
        <v>81</v>
      </c>
      <c r="D391">
        <v>0</v>
      </c>
      <c r="E391" s="2">
        <v>323122890.93000001</v>
      </c>
      <c r="F391" s="2">
        <v>323166860.66000003</v>
      </c>
      <c r="G391" s="2">
        <v>424297.67</v>
      </c>
    </row>
    <row r="392" spans="1:7" x14ac:dyDescent="0.25">
      <c r="A392" s="1">
        <v>44958</v>
      </c>
      <c r="B392" t="s">
        <v>15</v>
      </c>
      <c r="C392" t="s">
        <v>25</v>
      </c>
      <c r="D392" s="2">
        <v>-3430184</v>
      </c>
      <c r="E392" s="2">
        <v>33737.58</v>
      </c>
      <c r="F392" s="2">
        <v>33001.72</v>
      </c>
      <c r="G392" s="2">
        <v>109250.59</v>
      </c>
    </row>
    <row r="393" spans="1:7" x14ac:dyDescent="0.25">
      <c r="A393" s="1">
        <v>44958</v>
      </c>
      <c r="B393" t="s">
        <v>69</v>
      </c>
      <c r="C393" t="s">
        <v>22</v>
      </c>
      <c r="D393" s="2">
        <v>487169</v>
      </c>
      <c r="E393" s="2">
        <v>13717795.140000001</v>
      </c>
      <c r="F393" s="2">
        <v>13679277.029999999</v>
      </c>
      <c r="G393">
        <v>0</v>
      </c>
    </row>
    <row r="394" spans="1:7" x14ac:dyDescent="0.25">
      <c r="A394" s="1">
        <v>44958</v>
      </c>
      <c r="B394" t="s">
        <v>13</v>
      </c>
      <c r="C394" t="s">
        <v>39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 s="1">
        <v>44958</v>
      </c>
      <c r="B395" t="s">
        <v>65</v>
      </c>
      <c r="C395" t="s">
        <v>78</v>
      </c>
      <c r="D395">
        <v>0</v>
      </c>
      <c r="E395">
        <v>0</v>
      </c>
      <c r="F395">
        <v>0</v>
      </c>
      <c r="G395" s="2">
        <v>218996.54</v>
      </c>
    </row>
    <row r="396" spans="1:7" x14ac:dyDescent="0.25">
      <c r="A396" s="1">
        <v>44958</v>
      </c>
      <c r="B396" t="s">
        <v>83</v>
      </c>
      <c r="C396" t="s">
        <v>42</v>
      </c>
      <c r="D396" s="2">
        <v>760555.69</v>
      </c>
      <c r="E396" s="2">
        <v>14189.08</v>
      </c>
      <c r="F396" s="2">
        <v>14113.66</v>
      </c>
      <c r="G396" s="2">
        <v>16889.259999999998</v>
      </c>
    </row>
    <row r="397" spans="1:7" x14ac:dyDescent="0.25">
      <c r="A397" s="1">
        <v>44958</v>
      </c>
      <c r="B397" t="s">
        <v>43</v>
      </c>
      <c r="C397" t="s">
        <v>44</v>
      </c>
      <c r="D397" s="2">
        <v>20000</v>
      </c>
      <c r="E397">
        <v>0</v>
      </c>
      <c r="F397">
        <v>0</v>
      </c>
      <c r="G397" s="2">
        <v>232773.92</v>
      </c>
    </row>
    <row r="398" spans="1:7" x14ac:dyDescent="0.25">
      <c r="A398" s="1">
        <v>44958</v>
      </c>
      <c r="B398" t="s">
        <v>47</v>
      </c>
      <c r="C398" t="s">
        <v>16</v>
      </c>
      <c r="D398" s="2">
        <v>24685794.710000001</v>
      </c>
      <c r="E398">
        <v>0</v>
      </c>
      <c r="F398">
        <v>0</v>
      </c>
      <c r="G398" s="2">
        <v>17136370.050000001</v>
      </c>
    </row>
    <row r="399" spans="1:7" x14ac:dyDescent="0.25">
      <c r="A399" s="1">
        <v>44958</v>
      </c>
      <c r="B399" t="s">
        <v>45</v>
      </c>
      <c r="C399" t="s">
        <v>46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 s="1">
        <v>44958</v>
      </c>
      <c r="B400" t="s">
        <v>33</v>
      </c>
      <c r="C400" t="s">
        <v>35</v>
      </c>
      <c r="D400">
        <v>0</v>
      </c>
      <c r="E400">
        <v>0</v>
      </c>
      <c r="F400">
        <v>0</v>
      </c>
      <c r="G400" s="2">
        <v>6578.18</v>
      </c>
    </row>
    <row r="401" spans="1:7" x14ac:dyDescent="0.25">
      <c r="A401" s="1">
        <v>44958</v>
      </c>
      <c r="B401" t="s">
        <v>54</v>
      </c>
      <c r="C401" t="s">
        <v>108</v>
      </c>
      <c r="D401">
        <v>0</v>
      </c>
      <c r="E401" s="2">
        <v>62466.080000000002</v>
      </c>
      <c r="F401" s="2">
        <v>62466.080000000002</v>
      </c>
      <c r="G401" s="2">
        <v>64247.02</v>
      </c>
    </row>
    <row r="402" spans="1:7" x14ac:dyDescent="0.25">
      <c r="A402" s="1">
        <v>44958</v>
      </c>
      <c r="B402" t="s">
        <v>13</v>
      </c>
      <c r="C402" t="s">
        <v>22</v>
      </c>
      <c r="D402">
        <v>0</v>
      </c>
      <c r="E402" s="2">
        <v>13828548.039999999</v>
      </c>
      <c r="F402" s="2">
        <v>13793030.539999999</v>
      </c>
      <c r="G402">
        <v>0</v>
      </c>
    </row>
    <row r="403" spans="1:7" x14ac:dyDescent="0.25">
      <c r="A403" s="1">
        <v>44958</v>
      </c>
      <c r="B403" t="s">
        <v>104</v>
      </c>
      <c r="C403" t="s">
        <v>74</v>
      </c>
      <c r="D403" s="2">
        <v>2097959.09</v>
      </c>
      <c r="E403">
        <v>0</v>
      </c>
      <c r="F403">
        <v>0</v>
      </c>
      <c r="G403" s="2">
        <v>2087019.47</v>
      </c>
    </row>
    <row r="404" spans="1:7" x14ac:dyDescent="0.25">
      <c r="A404" s="1">
        <v>44958</v>
      </c>
      <c r="B404" t="s">
        <v>43</v>
      </c>
      <c r="C404" t="s">
        <v>25</v>
      </c>
      <c r="D404" s="2">
        <v>581972.21</v>
      </c>
      <c r="E404" s="2">
        <v>552039.26</v>
      </c>
      <c r="F404" s="2">
        <v>517757.47</v>
      </c>
      <c r="G404" s="2">
        <v>66502.509999999995</v>
      </c>
    </row>
    <row r="405" spans="1:7" x14ac:dyDescent="0.25">
      <c r="A405" s="1">
        <v>44958</v>
      </c>
      <c r="B405" t="s">
        <v>13</v>
      </c>
      <c r="C405" t="s">
        <v>71</v>
      </c>
      <c r="D405" s="2">
        <v>51833.81</v>
      </c>
      <c r="E405" s="2">
        <v>51833.81</v>
      </c>
      <c r="F405" s="2">
        <v>51833.81</v>
      </c>
      <c r="G405" s="2">
        <v>2180816.2400000002</v>
      </c>
    </row>
    <row r="406" spans="1:7" x14ac:dyDescent="0.25">
      <c r="A406" s="1">
        <v>44958</v>
      </c>
      <c r="B406" t="s">
        <v>47</v>
      </c>
      <c r="C406" t="s">
        <v>24</v>
      </c>
      <c r="D406" s="2">
        <v>20000</v>
      </c>
      <c r="E406">
        <v>0</v>
      </c>
      <c r="F406">
        <v>0</v>
      </c>
      <c r="G406" s="2">
        <v>37375.760000000002</v>
      </c>
    </row>
    <row r="407" spans="1:7" x14ac:dyDescent="0.25">
      <c r="A407" s="1">
        <v>44958</v>
      </c>
      <c r="B407" t="s">
        <v>17</v>
      </c>
      <c r="C407" t="s">
        <v>86</v>
      </c>
      <c r="D407" s="2">
        <v>959048.79</v>
      </c>
      <c r="E407" s="2">
        <v>220456.83</v>
      </c>
      <c r="F407" s="2">
        <v>200170.74</v>
      </c>
      <c r="G407" s="2">
        <v>227674.82</v>
      </c>
    </row>
    <row r="408" spans="1:7" x14ac:dyDescent="0.25">
      <c r="A408" s="1">
        <v>44958</v>
      </c>
      <c r="B408" t="s">
        <v>15</v>
      </c>
      <c r="C408" t="s">
        <v>79</v>
      </c>
      <c r="D408" s="2">
        <v>375549.14</v>
      </c>
      <c r="E408" s="2">
        <v>21819.17</v>
      </c>
      <c r="F408" s="2">
        <v>14102.99</v>
      </c>
      <c r="G408" s="2">
        <v>220086.59</v>
      </c>
    </row>
    <row r="409" spans="1:7" x14ac:dyDescent="0.25">
      <c r="A409" s="1">
        <v>44958</v>
      </c>
      <c r="B409" t="s">
        <v>17</v>
      </c>
      <c r="C409" t="s">
        <v>78</v>
      </c>
      <c r="D409">
        <v>0</v>
      </c>
      <c r="E409">
        <v>0</v>
      </c>
      <c r="F409">
        <v>0</v>
      </c>
      <c r="G409" s="2">
        <v>14563479.390000001</v>
      </c>
    </row>
    <row r="410" spans="1:7" x14ac:dyDescent="0.25">
      <c r="A410" s="1">
        <v>44958</v>
      </c>
      <c r="B410" t="s">
        <v>23</v>
      </c>
      <c r="C410" t="s">
        <v>103</v>
      </c>
      <c r="D410" s="2">
        <v>4252016.29</v>
      </c>
      <c r="E410" s="2">
        <v>4096201.6</v>
      </c>
      <c r="F410" s="2">
        <v>14940.09</v>
      </c>
      <c r="G410" s="2">
        <v>23484540.510000002</v>
      </c>
    </row>
    <row r="411" spans="1:7" x14ac:dyDescent="0.25">
      <c r="A411" s="1">
        <v>44958</v>
      </c>
      <c r="B411" t="s">
        <v>43</v>
      </c>
      <c r="C411" t="s">
        <v>22</v>
      </c>
      <c r="D411" s="2">
        <v>27503120.890000001</v>
      </c>
      <c r="E411" s="2">
        <v>8112797.0899999999</v>
      </c>
      <c r="F411" s="2">
        <v>8112096.5199999996</v>
      </c>
      <c r="G411">
        <v>0</v>
      </c>
    </row>
    <row r="412" spans="1:7" x14ac:dyDescent="0.25">
      <c r="A412" s="1">
        <v>44958</v>
      </c>
      <c r="B412" t="s">
        <v>7</v>
      </c>
      <c r="C412" t="s">
        <v>78</v>
      </c>
      <c r="D412">
        <v>0</v>
      </c>
      <c r="E412">
        <v>0</v>
      </c>
      <c r="F412">
        <v>0</v>
      </c>
      <c r="G412" s="2">
        <v>736151.22</v>
      </c>
    </row>
    <row r="413" spans="1:7" x14ac:dyDescent="0.25">
      <c r="A413" s="1">
        <v>44958</v>
      </c>
      <c r="B413" t="s">
        <v>91</v>
      </c>
      <c r="C413" t="s">
        <v>98</v>
      </c>
      <c r="D413">
        <v>0</v>
      </c>
      <c r="E413">
        <v>0</v>
      </c>
      <c r="F413">
        <v>0</v>
      </c>
      <c r="G413" s="2">
        <v>4730131.49</v>
      </c>
    </row>
    <row r="414" spans="1:7" x14ac:dyDescent="0.25">
      <c r="A414" s="1">
        <v>44958</v>
      </c>
      <c r="B414" t="s">
        <v>43</v>
      </c>
      <c r="C414" t="s">
        <v>12</v>
      </c>
      <c r="D414" s="2">
        <v>96810.2</v>
      </c>
      <c r="E414" s="2">
        <v>8212</v>
      </c>
      <c r="F414" s="2">
        <v>8669.2199999999993</v>
      </c>
      <c r="G414" s="2">
        <v>6831.51</v>
      </c>
    </row>
    <row r="415" spans="1:7" x14ac:dyDescent="0.25">
      <c r="A415" s="1">
        <v>44958</v>
      </c>
      <c r="B415" t="s">
        <v>52</v>
      </c>
      <c r="C415" t="s">
        <v>72</v>
      </c>
      <c r="D415" s="2">
        <v>2196989.65</v>
      </c>
      <c r="E415" s="2">
        <v>2171535.62</v>
      </c>
      <c r="F415" s="2">
        <v>2057884.08</v>
      </c>
      <c r="G415">
        <v>0</v>
      </c>
    </row>
    <row r="416" spans="1:7" x14ac:dyDescent="0.25">
      <c r="A416" s="1">
        <v>44958</v>
      </c>
      <c r="B416" t="s">
        <v>62</v>
      </c>
      <c r="C416" t="s">
        <v>12</v>
      </c>
      <c r="D416">
        <v>0</v>
      </c>
      <c r="E416" s="2">
        <v>2329.62</v>
      </c>
      <c r="F416" s="2">
        <v>1503.31</v>
      </c>
      <c r="G416" s="2">
        <v>1981.66</v>
      </c>
    </row>
    <row r="417" spans="1:7" x14ac:dyDescent="0.25">
      <c r="A417" s="1">
        <v>44958</v>
      </c>
      <c r="B417" t="s">
        <v>23</v>
      </c>
      <c r="C417" t="s">
        <v>79</v>
      </c>
      <c r="D417" s="2">
        <v>5368016.3</v>
      </c>
      <c r="E417" s="2">
        <v>5297568.5999999996</v>
      </c>
      <c r="F417" s="2">
        <v>4118.6000000000004</v>
      </c>
      <c r="G417" s="2">
        <v>5000000</v>
      </c>
    </row>
    <row r="418" spans="1:7" x14ac:dyDescent="0.25">
      <c r="A418" s="1">
        <v>44958</v>
      </c>
      <c r="B418" t="s">
        <v>23</v>
      </c>
      <c r="C418" t="s">
        <v>55</v>
      </c>
      <c r="D418" s="2">
        <v>8951135.9000000004</v>
      </c>
      <c r="E418" s="2">
        <v>1391373.29</v>
      </c>
      <c r="F418" s="2">
        <v>679661.45</v>
      </c>
      <c r="G418" s="2">
        <v>5651021.1399999997</v>
      </c>
    </row>
    <row r="419" spans="1:7" x14ac:dyDescent="0.25">
      <c r="A419" s="1">
        <v>44958</v>
      </c>
      <c r="B419" t="s">
        <v>91</v>
      </c>
      <c r="C419" t="s">
        <v>14</v>
      </c>
      <c r="D419" s="2">
        <v>86011043.810000002</v>
      </c>
      <c r="E419" s="2">
        <v>514176.22</v>
      </c>
      <c r="F419" s="2">
        <v>554078.42000000004</v>
      </c>
      <c r="G419" s="2">
        <v>7589026.2000000002</v>
      </c>
    </row>
    <row r="420" spans="1:7" x14ac:dyDescent="0.25">
      <c r="A420" s="1">
        <v>44958</v>
      </c>
      <c r="B420" t="s">
        <v>91</v>
      </c>
      <c r="C420" t="s">
        <v>51</v>
      </c>
      <c r="D420" s="2">
        <v>81433</v>
      </c>
      <c r="E420" s="2">
        <v>30155.67</v>
      </c>
      <c r="F420" s="2">
        <v>30155.67</v>
      </c>
      <c r="G420" s="2">
        <v>6024.39</v>
      </c>
    </row>
    <row r="421" spans="1:7" x14ac:dyDescent="0.25">
      <c r="A421" s="1">
        <v>44958</v>
      </c>
      <c r="B421" t="s">
        <v>11</v>
      </c>
      <c r="C421" t="s">
        <v>71</v>
      </c>
      <c r="D421" s="2">
        <v>1323129.83</v>
      </c>
      <c r="E421" s="2">
        <v>408768.84</v>
      </c>
      <c r="F421" s="2">
        <v>408768.84</v>
      </c>
      <c r="G421" s="2">
        <v>9728.42</v>
      </c>
    </row>
    <row r="422" spans="1:7" x14ac:dyDescent="0.25">
      <c r="A422" s="1">
        <v>44958</v>
      </c>
      <c r="B422" t="s">
        <v>62</v>
      </c>
      <c r="C422" t="s">
        <v>64</v>
      </c>
      <c r="D422" s="2">
        <v>93487.21</v>
      </c>
      <c r="E422" s="2">
        <v>43096.74</v>
      </c>
      <c r="F422" s="2">
        <v>17370.18</v>
      </c>
      <c r="G422" s="2">
        <v>1434028.65</v>
      </c>
    </row>
    <row r="423" spans="1:7" x14ac:dyDescent="0.25">
      <c r="A423" s="1">
        <v>44958</v>
      </c>
      <c r="B423" t="s">
        <v>69</v>
      </c>
      <c r="C423" t="s">
        <v>34</v>
      </c>
      <c r="D423" s="2">
        <v>27595</v>
      </c>
      <c r="E423" s="2">
        <v>5824.42</v>
      </c>
      <c r="F423" s="2">
        <v>5005</v>
      </c>
      <c r="G423" s="2">
        <v>22865.16</v>
      </c>
    </row>
    <row r="424" spans="1:7" x14ac:dyDescent="0.25">
      <c r="A424" s="1">
        <v>44958</v>
      </c>
      <c r="B424" t="s">
        <v>15</v>
      </c>
      <c r="C424" t="s">
        <v>88</v>
      </c>
      <c r="D424" s="2">
        <v>4671353.4800000004</v>
      </c>
      <c r="E424" s="2">
        <v>1512116.59</v>
      </c>
      <c r="F424" s="2">
        <v>1511180.63</v>
      </c>
      <c r="G424" s="2">
        <v>1341517.99</v>
      </c>
    </row>
    <row r="425" spans="1:7" x14ac:dyDescent="0.25">
      <c r="A425" s="1">
        <v>44958</v>
      </c>
      <c r="B425" t="s">
        <v>31</v>
      </c>
      <c r="C425" t="s">
        <v>92</v>
      </c>
      <c r="D425" s="2">
        <v>28358261721.119999</v>
      </c>
      <c r="E425" s="2">
        <v>37285485371.07</v>
      </c>
      <c r="F425" s="2">
        <v>37285485371.07</v>
      </c>
      <c r="G425" s="2">
        <v>1004040.02</v>
      </c>
    </row>
    <row r="426" spans="1:7" x14ac:dyDescent="0.25">
      <c r="A426" s="1">
        <v>44958</v>
      </c>
      <c r="B426" t="s">
        <v>28</v>
      </c>
      <c r="C426" t="s">
        <v>78</v>
      </c>
      <c r="D426">
        <v>0</v>
      </c>
      <c r="E426">
        <v>0</v>
      </c>
      <c r="F426">
        <v>0</v>
      </c>
      <c r="G426" s="2">
        <v>948800.82</v>
      </c>
    </row>
    <row r="427" spans="1:7" x14ac:dyDescent="0.25">
      <c r="A427" s="1">
        <v>44958</v>
      </c>
      <c r="B427" t="s">
        <v>28</v>
      </c>
      <c r="C427" t="s">
        <v>12</v>
      </c>
      <c r="D427" s="2">
        <v>376780.55</v>
      </c>
      <c r="E427" s="2">
        <v>24796.48</v>
      </c>
      <c r="F427" s="2">
        <v>24796.48</v>
      </c>
      <c r="G427">
        <v>0</v>
      </c>
    </row>
    <row r="428" spans="1:7" x14ac:dyDescent="0.25">
      <c r="A428" s="1">
        <v>44958</v>
      </c>
      <c r="B428" t="s">
        <v>37</v>
      </c>
      <c r="C428" t="s">
        <v>22</v>
      </c>
      <c r="D428" s="2">
        <v>5000000</v>
      </c>
      <c r="E428" s="2">
        <v>6092763.1900000004</v>
      </c>
      <c r="F428" s="2">
        <v>6092763.1900000004</v>
      </c>
      <c r="G428">
        <v>0</v>
      </c>
    </row>
    <row r="429" spans="1:7" x14ac:dyDescent="0.25">
      <c r="A429" s="1">
        <v>44958</v>
      </c>
      <c r="B429" t="s">
        <v>13</v>
      </c>
      <c r="C429" t="s">
        <v>78</v>
      </c>
      <c r="D429">
        <v>0</v>
      </c>
      <c r="E429">
        <v>0</v>
      </c>
      <c r="F429">
        <v>0</v>
      </c>
      <c r="G429" s="2">
        <v>963144.92</v>
      </c>
    </row>
    <row r="430" spans="1:7" x14ac:dyDescent="0.25">
      <c r="A430" s="1">
        <v>44958</v>
      </c>
      <c r="B430" t="s">
        <v>21</v>
      </c>
      <c r="C430" t="s">
        <v>80</v>
      </c>
      <c r="D430" s="2">
        <v>-91314000</v>
      </c>
      <c r="E430" s="2">
        <v>114710125.28</v>
      </c>
      <c r="F430" s="2">
        <v>120064834.66</v>
      </c>
      <c r="G430" s="2">
        <v>23621401.379999999</v>
      </c>
    </row>
    <row r="431" spans="1:7" x14ac:dyDescent="0.25">
      <c r="A431" s="1">
        <v>44958</v>
      </c>
      <c r="B431" t="s">
        <v>36</v>
      </c>
      <c r="C431" t="s">
        <v>75</v>
      </c>
      <c r="D431" s="2">
        <v>1233971.26</v>
      </c>
      <c r="E431" s="2">
        <v>136991.59</v>
      </c>
      <c r="F431" s="2">
        <v>132071.28</v>
      </c>
      <c r="G431" s="2">
        <v>40126.589999999997</v>
      </c>
    </row>
    <row r="432" spans="1:7" x14ac:dyDescent="0.25">
      <c r="A432" s="1">
        <v>44958</v>
      </c>
      <c r="B432" t="s">
        <v>31</v>
      </c>
      <c r="C432" t="s">
        <v>97</v>
      </c>
      <c r="D432" s="2">
        <v>18579589470</v>
      </c>
      <c r="E432" s="2">
        <v>9318661222.1800003</v>
      </c>
      <c r="F432" s="2">
        <v>9318661222.1800003</v>
      </c>
      <c r="G432" s="2">
        <v>18029.11</v>
      </c>
    </row>
    <row r="433" spans="1:7" x14ac:dyDescent="0.25">
      <c r="A433" s="1">
        <v>44958</v>
      </c>
      <c r="B433" t="s">
        <v>43</v>
      </c>
      <c r="C433" t="s">
        <v>78</v>
      </c>
      <c r="D433">
        <v>0</v>
      </c>
      <c r="E433">
        <v>0</v>
      </c>
      <c r="F433">
        <v>0</v>
      </c>
      <c r="G433" s="2">
        <v>19310.740000000002</v>
      </c>
    </row>
    <row r="434" spans="1:7" x14ac:dyDescent="0.25">
      <c r="A434" s="1">
        <v>44958</v>
      </c>
      <c r="B434" t="s">
        <v>33</v>
      </c>
      <c r="C434" t="s">
        <v>14</v>
      </c>
      <c r="D434" s="2">
        <v>143589247.84999999</v>
      </c>
      <c r="E434" s="2">
        <v>5430002.0899999999</v>
      </c>
      <c r="F434" s="2">
        <v>5419952.6299999999</v>
      </c>
      <c r="G434" s="2">
        <v>26871901.629999999</v>
      </c>
    </row>
    <row r="435" spans="1:7" x14ac:dyDescent="0.25">
      <c r="A435" s="1">
        <v>44958</v>
      </c>
      <c r="B435" t="s">
        <v>69</v>
      </c>
      <c r="C435" t="s">
        <v>105</v>
      </c>
      <c r="D435" s="2">
        <v>161890</v>
      </c>
      <c r="E435">
        <v>0</v>
      </c>
      <c r="F435">
        <v>0</v>
      </c>
      <c r="G435" s="2">
        <v>567471.39</v>
      </c>
    </row>
    <row r="436" spans="1:7" x14ac:dyDescent="0.25">
      <c r="A436" s="1">
        <v>44958</v>
      </c>
      <c r="B436" t="s">
        <v>91</v>
      </c>
      <c r="C436" t="s">
        <v>22</v>
      </c>
      <c r="D436" s="2">
        <v>8262152.5199999996</v>
      </c>
      <c r="E436" s="2">
        <v>14409673.720000001</v>
      </c>
      <c r="F436" s="2">
        <v>14412987.24</v>
      </c>
      <c r="G436" s="2">
        <v>4970.28</v>
      </c>
    </row>
    <row r="437" spans="1:7" x14ac:dyDescent="0.25">
      <c r="A437" s="1">
        <v>44958</v>
      </c>
      <c r="B437" t="s">
        <v>9</v>
      </c>
      <c r="C437" t="s">
        <v>72</v>
      </c>
      <c r="D437" s="2">
        <v>3830263.57</v>
      </c>
      <c r="E437" s="2">
        <v>30169598.359999999</v>
      </c>
      <c r="F437" s="2">
        <v>28883991.82</v>
      </c>
      <c r="G437">
        <v>0</v>
      </c>
    </row>
    <row r="438" spans="1:7" x14ac:dyDescent="0.25">
      <c r="A438" s="1">
        <v>44958</v>
      </c>
      <c r="B438" t="s">
        <v>7</v>
      </c>
      <c r="C438" t="s">
        <v>97</v>
      </c>
      <c r="D438">
        <v>0</v>
      </c>
      <c r="E438" s="2">
        <v>2103286601.0799999</v>
      </c>
      <c r="F438" s="2">
        <v>2103286601.0799999</v>
      </c>
      <c r="G438">
        <v>0</v>
      </c>
    </row>
    <row r="439" spans="1:7" x14ac:dyDescent="0.25">
      <c r="A439" s="1">
        <v>44958</v>
      </c>
      <c r="B439" t="s">
        <v>54</v>
      </c>
      <c r="C439" t="s">
        <v>16</v>
      </c>
      <c r="D439" s="2">
        <v>65416.65</v>
      </c>
      <c r="E439" s="2">
        <v>41426.379999999997</v>
      </c>
      <c r="F439" s="2">
        <v>24550.6</v>
      </c>
      <c r="G439" s="2">
        <v>317582.39</v>
      </c>
    </row>
    <row r="440" spans="1:7" x14ac:dyDescent="0.25">
      <c r="A440" s="1">
        <v>44958</v>
      </c>
      <c r="B440" t="s">
        <v>65</v>
      </c>
      <c r="C440" t="s">
        <v>34</v>
      </c>
      <c r="D440" s="2">
        <v>30893.22</v>
      </c>
      <c r="E440" s="2">
        <v>11183.78</v>
      </c>
      <c r="F440" s="2">
        <v>24434.880000000001</v>
      </c>
      <c r="G440" s="2">
        <v>73148.800000000003</v>
      </c>
    </row>
    <row r="441" spans="1:7" x14ac:dyDescent="0.25">
      <c r="A441" s="1">
        <v>44958</v>
      </c>
      <c r="B441" t="s">
        <v>15</v>
      </c>
      <c r="C441" t="s">
        <v>12</v>
      </c>
      <c r="D441" s="2">
        <v>268232.25</v>
      </c>
      <c r="E441" s="2">
        <v>26729.75</v>
      </c>
      <c r="F441" s="2">
        <v>49300.95</v>
      </c>
      <c r="G441" s="2">
        <v>35801.550000000003</v>
      </c>
    </row>
    <row r="442" spans="1:7" x14ac:dyDescent="0.25">
      <c r="A442" s="1">
        <v>44958</v>
      </c>
      <c r="B442" t="s">
        <v>23</v>
      </c>
      <c r="C442" t="s">
        <v>59</v>
      </c>
      <c r="D442" s="2">
        <v>53500</v>
      </c>
      <c r="E442" s="2">
        <v>9484.82</v>
      </c>
      <c r="F442" s="2">
        <v>8536.3700000000008</v>
      </c>
      <c r="G442" s="2">
        <v>762151.88</v>
      </c>
    </row>
    <row r="443" spans="1:7" x14ac:dyDescent="0.25">
      <c r="A443" s="1">
        <v>44958</v>
      </c>
      <c r="B443" t="s">
        <v>26</v>
      </c>
      <c r="C443" t="s">
        <v>68</v>
      </c>
      <c r="D443" s="2">
        <v>202904</v>
      </c>
      <c r="E443" s="2">
        <v>2680.19</v>
      </c>
      <c r="F443" s="2">
        <v>2680.19</v>
      </c>
      <c r="G443" s="2">
        <v>592310.67000000004</v>
      </c>
    </row>
    <row r="444" spans="1:7" x14ac:dyDescent="0.25">
      <c r="A444" s="1">
        <v>44958</v>
      </c>
      <c r="B444" t="s">
        <v>47</v>
      </c>
      <c r="C444" t="s">
        <v>72</v>
      </c>
      <c r="D444" s="2">
        <v>108032.99</v>
      </c>
      <c r="E444" s="2">
        <v>1658666.59</v>
      </c>
      <c r="F444" s="2">
        <v>1598135.93</v>
      </c>
      <c r="G444">
        <v>0</v>
      </c>
    </row>
    <row r="445" spans="1:7" x14ac:dyDescent="0.25">
      <c r="A445" s="1">
        <v>44958</v>
      </c>
      <c r="B445" t="s">
        <v>7</v>
      </c>
      <c r="C445" t="s">
        <v>94</v>
      </c>
      <c r="D445" s="2">
        <v>1000</v>
      </c>
      <c r="E445" s="2">
        <v>3437692.1</v>
      </c>
      <c r="F445" s="2">
        <v>3437692.1</v>
      </c>
      <c r="G445">
        <v>0</v>
      </c>
    </row>
    <row r="446" spans="1:7" x14ac:dyDescent="0.25">
      <c r="A446" s="1">
        <v>44958</v>
      </c>
      <c r="B446" t="s">
        <v>28</v>
      </c>
      <c r="C446" t="s">
        <v>99</v>
      </c>
      <c r="D446" s="2">
        <v>4425661.29</v>
      </c>
      <c r="E446" s="2">
        <v>4459303.1100000003</v>
      </c>
      <c r="F446" s="2">
        <v>4477061.93</v>
      </c>
      <c r="G446" s="2">
        <v>249395.12</v>
      </c>
    </row>
    <row r="447" spans="1:7" x14ac:dyDescent="0.25">
      <c r="A447" s="1">
        <v>44958</v>
      </c>
      <c r="B447" t="s">
        <v>26</v>
      </c>
      <c r="C447" t="s">
        <v>24</v>
      </c>
      <c r="D447" s="2">
        <v>66559.899999999994</v>
      </c>
      <c r="E447" s="2">
        <v>25766.85</v>
      </c>
      <c r="F447" s="2">
        <v>24216</v>
      </c>
      <c r="G447" s="2">
        <v>1764.9</v>
      </c>
    </row>
    <row r="448" spans="1:7" x14ac:dyDescent="0.25">
      <c r="A448" s="1">
        <v>44958</v>
      </c>
      <c r="B448" t="s">
        <v>36</v>
      </c>
      <c r="C448" t="s">
        <v>70</v>
      </c>
      <c r="D448" s="2">
        <v>2000</v>
      </c>
      <c r="E448" s="2">
        <v>3157178357.6700001</v>
      </c>
      <c r="F448" s="2">
        <v>3137338365.5599999</v>
      </c>
      <c r="G448" s="2">
        <v>50074.09</v>
      </c>
    </row>
    <row r="449" spans="1:7" x14ac:dyDescent="0.25">
      <c r="A449" s="1">
        <v>44958</v>
      </c>
      <c r="B449" t="s">
        <v>23</v>
      </c>
      <c r="C449" t="s">
        <v>77</v>
      </c>
      <c r="D449" s="2">
        <v>294629.88</v>
      </c>
      <c r="E449" s="2">
        <v>20651.080000000002</v>
      </c>
      <c r="F449" s="2">
        <v>12164.82</v>
      </c>
      <c r="G449" s="2">
        <v>9429954.5700000003</v>
      </c>
    </row>
    <row r="450" spans="1:7" x14ac:dyDescent="0.25">
      <c r="A450" s="1">
        <v>44958</v>
      </c>
      <c r="B450" t="s">
        <v>11</v>
      </c>
      <c r="C450" t="s">
        <v>72</v>
      </c>
      <c r="D450" s="2">
        <v>60088702.240000002</v>
      </c>
      <c r="E450" s="2">
        <v>57561003.460000001</v>
      </c>
      <c r="F450" s="2">
        <v>57562923.859999999</v>
      </c>
      <c r="G450">
        <v>0</v>
      </c>
    </row>
    <row r="451" spans="1:7" x14ac:dyDescent="0.25">
      <c r="A451" s="1">
        <v>44958</v>
      </c>
      <c r="B451" t="s">
        <v>43</v>
      </c>
      <c r="C451" t="s">
        <v>122</v>
      </c>
      <c r="D451" s="2">
        <v>169707.98</v>
      </c>
      <c r="E451" s="2">
        <v>122937.3</v>
      </c>
      <c r="F451" s="2">
        <v>142787.35</v>
      </c>
      <c r="G451" s="2">
        <v>158882.42000000001</v>
      </c>
    </row>
    <row r="452" spans="1:7" x14ac:dyDescent="0.25">
      <c r="A452" s="1">
        <v>44958</v>
      </c>
      <c r="B452" t="s">
        <v>21</v>
      </c>
      <c r="C452" t="s">
        <v>57</v>
      </c>
      <c r="D452" s="2">
        <v>5271524.7699999996</v>
      </c>
      <c r="E452" s="2">
        <v>737811.52</v>
      </c>
      <c r="F452" s="2">
        <v>5872388.9299999997</v>
      </c>
      <c r="G452" s="2">
        <v>2868494.92</v>
      </c>
    </row>
    <row r="453" spans="1:7" x14ac:dyDescent="0.25">
      <c r="A453" s="1">
        <v>44958</v>
      </c>
      <c r="B453" t="s">
        <v>33</v>
      </c>
      <c r="C453" t="s">
        <v>22</v>
      </c>
      <c r="D453" s="2">
        <v>262366304.19999999</v>
      </c>
      <c r="E453" s="2">
        <v>148225162.31</v>
      </c>
      <c r="F453" s="2">
        <v>67827194.700000003</v>
      </c>
      <c r="G453" s="2">
        <v>36678.18</v>
      </c>
    </row>
    <row r="454" spans="1:7" x14ac:dyDescent="0.25">
      <c r="A454" s="1">
        <v>44958</v>
      </c>
      <c r="B454" t="s">
        <v>33</v>
      </c>
      <c r="C454" t="s">
        <v>99</v>
      </c>
      <c r="D454" s="2">
        <v>1600793.31</v>
      </c>
      <c r="E454" s="2">
        <v>1322844.1200000001</v>
      </c>
      <c r="F454" s="2">
        <v>1331961.3999999999</v>
      </c>
      <c r="G454" s="2">
        <v>75787.39</v>
      </c>
    </row>
    <row r="455" spans="1:7" x14ac:dyDescent="0.25">
      <c r="A455" s="1">
        <v>44958</v>
      </c>
      <c r="B455" t="s">
        <v>65</v>
      </c>
      <c r="C455" t="s">
        <v>94</v>
      </c>
      <c r="D455">
        <v>0</v>
      </c>
      <c r="E455">
        <v>0</v>
      </c>
      <c r="F455">
        <v>0</v>
      </c>
      <c r="G455" s="2">
        <v>3862.58</v>
      </c>
    </row>
    <row r="456" spans="1:7" x14ac:dyDescent="0.25">
      <c r="A456" s="1">
        <v>44958</v>
      </c>
      <c r="B456" t="s">
        <v>65</v>
      </c>
      <c r="C456" t="s">
        <v>89</v>
      </c>
      <c r="D456">
        <v>0</v>
      </c>
      <c r="E456">
        <v>0</v>
      </c>
      <c r="F456">
        <v>0</v>
      </c>
      <c r="G456" s="2">
        <v>3323599.33</v>
      </c>
    </row>
    <row r="457" spans="1:7" x14ac:dyDescent="0.25">
      <c r="A457" s="1">
        <v>44958</v>
      </c>
      <c r="B457" t="s">
        <v>33</v>
      </c>
      <c r="C457" t="s">
        <v>100</v>
      </c>
      <c r="D457" s="2">
        <v>711039.14</v>
      </c>
      <c r="E457" s="2">
        <v>45359.49</v>
      </c>
      <c r="F457" s="2">
        <v>18821.150000000001</v>
      </c>
      <c r="G457" s="2">
        <v>3159.51</v>
      </c>
    </row>
    <row r="458" spans="1:7" x14ac:dyDescent="0.25">
      <c r="A458" s="1">
        <v>44958</v>
      </c>
      <c r="B458" t="s">
        <v>23</v>
      </c>
      <c r="C458" t="s">
        <v>75</v>
      </c>
      <c r="D458" s="2">
        <v>6074357.9800000004</v>
      </c>
      <c r="E458" s="2">
        <v>944671.17</v>
      </c>
      <c r="F458" s="2">
        <v>915621.06</v>
      </c>
      <c r="G458" s="2">
        <v>62534</v>
      </c>
    </row>
    <row r="459" spans="1:7" x14ac:dyDescent="0.25">
      <c r="A459" s="1">
        <v>44958</v>
      </c>
      <c r="B459" t="s">
        <v>54</v>
      </c>
      <c r="C459" t="s">
        <v>100</v>
      </c>
      <c r="D459" s="2">
        <v>226919.33</v>
      </c>
      <c r="E459" s="2">
        <v>10359.18</v>
      </c>
      <c r="F459" s="2">
        <v>2944.14</v>
      </c>
      <c r="G459" s="2">
        <v>1362442.93</v>
      </c>
    </row>
    <row r="460" spans="1:7" x14ac:dyDescent="0.25">
      <c r="A460" s="1">
        <v>44958</v>
      </c>
      <c r="B460" t="s">
        <v>54</v>
      </c>
      <c r="C460" t="s">
        <v>76</v>
      </c>
      <c r="D460">
        <v>431.2</v>
      </c>
      <c r="E460">
        <v>406.2</v>
      </c>
      <c r="F460">
        <v>406.2</v>
      </c>
      <c r="G460" s="2">
        <v>1017132.2</v>
      </c>
    </row>
    <row r="461" spans="1:7" x14ac:dyDescent="0.25">
      <c r="A461" s="1">
        <v>44958</v>
      </c>
      <c r="B461" t="s">
        <v>27</v>
      </c>
      <c r="C461" t="s">
        <v>72</v>
      </c>
      <c r="D461">
        <v>0</v>
      </c>
      <c r="E461" s="2">
        <v>7749451.3899999997</v>
      </c>
      <c r="F461" s="2">
        <v>6687979.5599999996</v>
      </c>
      <c r="G461">
        <v>0</v>
      </c>
    </row>
    <row r="462" spans="1:7" x14ac:dyDescent="0.25">
      <c r="A462" s="1">
        <v>44958</v>
      </c>
      <c r="B462" t="s">
        <v>52</v>
      </c>
      <c r="C462" t="s">
        <v>46</v>
      </c>
      <c r="D462">
        <v>0</v>
      </c>
      <c r="E462">
        <v>0</v>
      </c>
      <c r="F462">
        <v>0</v>
      </c>
      <c r="G462" s="2">
        <v>6775733.3600000003</v>
      </c>
    </row>
    <row r="463" spans="1:7" x14ac:dyDescent="0.25">
      <c r="A463" s="1">
        <v>44958</v>
      </c>
      <c r="B463" t="s">
        <v>37</v>
      </c>
      <c r="C463" t="s">
        <v>78</v>
      </c>
      <c r="D463">
        <v>0</v>
      </c>
      <c r="E463">
        <v>0</v>
      </c>
      <c r="F463">
        <v>0</v>
      </c>
      <c r="G463" s="2">
        <v>121522.84</v>
      </c>
    </row>
    <row r="464" spans="1:7" x14ac:dyDescent="0.25">
      <c r="A464" s="1">
        <v>44958</v>
      </c>
      <c r="B464" t="s">
        <v>54</v>
      </c>
      <c r="C464" t="s">
        <v>34</v>
      </c>
      <c r="D464" s="2">
        <v>74892.52</v>
      </c>
      <c r="E464" s="2">
        <v>33267.1</v>
      </c>
      <c r="F464" s="2">
        <v>11481.12</v>
      </c>
      <c r="G464" s="2">
        <v>36312.980000000003</v>
      </c>
    </row>
    <row r="465" spans="1:7" x14ac:dyDescent="0.25">
      <c r="A465" s="1">
        <v>44958</v>
      </c>
      <c r="B465" t="s">
        <v>41</v>
      </c>
      <c r="C465" t="s">
        <v>57</v>
      </c>
      <c r="D465">
        <v>0</v>
      </c>
      <c r="E465" s="2">
        <v>78330.22</v>
      </c>
      <c r="F465" s="2">
        <v>78330.22</v>
      </c>
      <c r="G465" s="2">
        <v>51894.07</v>
      </c>
    </row>
    <row r="466" spans="1:7" x14ac:dyDescent="0.25">
      <c r="A466" s="1">
        <v>44958</v>
      </c>
      <c r="B466" t="s">
        <v>91</v>
      </c>
      <c r="C466" t="s">
        <v>111</v>
      </c>
      <c r="D466" s="2">
        <v>5400060.3899999997</v>
      </c>
      <c r="E466" s="2">
        <v>588755.30000000005</v>
      </c>
      <c r="F466" s="2">
        <v>572952.03</v>
      </c>
      <c r="G466" s="2">
        <v>11394957.470000001</v>
      </c>
    </row>
    <row r="467" spans="1:7" x14ac:dyDescent="0.25">
      <c r="A467" s="1">
        <v>44958</v>
      </c>
      <c r="B467" t="s">
        <v>69</v>
      </c>
      <c r="C467" t="s">
        <v>75</v>
      </c>
      <c r="D467" s="2">
        <v>17571620.670000002</v>
      </c>
      <c r="E467" s="2">
        <v>13001718.26</v>
      </c>
      <c r="F467" s="2">
        <v>9763477.0399999991</v>
      </c>
      <c r="G467" s="2">
        <v>9147714.3599999994</v>
      </c>
    </row>
    <row r="468" spans="1:7" x14ac:dyDescent="0.25">
      <c r="A468" s="1">
        <v>44958</v>
      </c>
      <c r="B468" t="s">
        <v>54</v>
      </c>
      <c r="C468" t="s">
        <v>102</v>
      </c>
      <c r="D468" s="2">
        <v>5560483.7000000002</v>
      </c>
      <c r="E468" s="2">
        <v>392823.99</v>
      </c>
      <c r="F468" s="2">
        <v>392823.99</v>
      </c>
      <c r="G468" s="2">
        <v>2081703.74</v>
      </c>
    </row>
    <row r="469" spans="1:7" x14ac:dyDescent="0.25">
      <c r="A469" s="1">
        <v>44958</v>
      </c>
      <c r="B469" t="s">
        <v>54</v>
      </c>
      <c r="C469" t="s">
        <v>14</v>
      </c>
      <c r="D469" s="2">
        <v>2478448.89</v>
      </c>
      <c r="E469" s="2">
        <v>15864.25</v>
      </c>
      <c r="F469" s="2">
        <v>9803.5</v>
      </c>
      <c r="G469" s="2">
        <v>2174476.94</v>
      </c>
    </row>
    <row r="470" spans="1:7" x14ac:dyDescent="0.25">
      <c r="A470" s="1">
        <v>44958</v>
      </c>
      <c r="B470" t="s">
        <v>69</v>
      </c>
      <c r="C470" t="s">
        <v>55</v>
      </c>
      <c r="D470" s="2">
        <v>-5097.41</v>
      </c>
      <c r="E470">
        <v>0</v>
      </c>
      <c r="F470" s="2">
        <v>7061.01</v>
      </c>
      <c r="G470" s="2">
        <v>825314.07</v>
      </c>
    </row>
    <row r="471" spans="1:7" x14ac:dyDescent="0.25">
      <c r="A471" s="1">
        <v>44958</v>
      </c>
      <c r="B471" t="s">
        <v>26</v>
      </c>
      <c r="C471" t="s">
        <v>18</v>
      </c>
      <c r="D471" s="2">
        <v>239694.63</v>
      </c>
      <c r="E471" s="2">
        <v>153112.22</v>
      </c>
      <c r="F471" s="2">
        <v>169479.4</v>
      </c>
      <c r="G471" s="2">
        <v>279127.89</v>
      </c>
    </row>
    <row r="472" spans="1:7" x14ac:dyDescent="0.25">
      <c r="A472" s="1">
        <v>44958</v>
      </c>
      <c r="B472" t="s">
        <v>15</v>
      </c>
      <c r="C472" t="s">
        <v>72</v>
      </c>
      <c r="D472" s="2">
        <v>120329.97</v>
      </c>
      <c r="E472" s="2">
        <v>2121014.83</v>
      </c>
      <c r="F472" s="2">
        <v>2089989.83</v>
      </c>
      <c r="G472">
        <v>0</v>
      </c>
    </row>
    <row r="473" spans="1:7" x14ac:dyDescent="0.25">
      <c r="A473" s="1">
        <v>44958</v>
      </c>
      <c r="B473" t="s">
        <v>7</v>
      </c>
      <c r="C473" t="s">
        <v>55</v>
      </c>
      <c r="D473" s="2">
        <v>13509264.58</v>
      </c>
      <c r="E473" s="2">
        <v>235786.64</v>
      </c>
      <c r="F473" s="2">
        <v>235786.64</v>
      </c>
      <c r="G473" s="2">
        <v>93297.59</v>
      </c>
    </row>
    <row r="474" spans="1:7" x14ac:dyDescent="0.25">
      <c r="A474" s="1">
        <v>44958</v>
      </c>
      <c r="B474" t="s">
        <v>54</v>
      </c>
      <c r="C474" t="s">
        <v>95</v>
      </c>
      <c r="D474" s="2">
        <v>928904.98</v>
      </c>
      <c r="E474" s="2">
        <v>397911.43</v>
      </c>
      <c r="F474" s="2">
        <v>365265.5</v>
      </c>
      <c r="G474" s="2">
        <v>681647.23</v>
      </c>
    </row>
    <row r="475" spans="1:7" x14ac:dyDescent="0.25">
      <c r="A475" s="1">
        <v>44958</v>
      </c>
      <c r="B475" t="s">
        <v>54</v>
      </c>
      <c r="C475" t="s">
        <v>101</v>
      </c>
      <c r="D475" s="2">
        <v>226458.08</v>
      </c>
      <c r="E475" s="2">
        <v>11890.09</v>
      </c>
      <c r="F475" s="2">
        <v>11890.09</v>
      </c>
      <c r="G475" s="2">
        <v>72610142.489999995</v>
      </c>
    </row>
    <row r="476" spans="1:7" x14ac:dyDescent="0.25">
      <c r="A476" s="1">
        <v>44958</v>
      </c>
      <c r="B476" t="s">
        <v>17</v>
      </c>
      <c r="C476" t="s">
        <v>93</v>
      </c>
      <c r="D476" s="2">
        <v>741613.08</v>
      </c>
      <c r="E476" s="2">
        <v>345366.54</v>
      </c>
      <c r="F476" s="2">
        <v>266843.62</v>
      </c>
      <c r="G476" s="2">
        <v>2301988.4900000002</v>
      </c>
    </row>
    <row r="477" spans="1:7" x14ac:dyDescent="0.25">
      <c r="A477" s="1">
        <v>44958</v>
      </c>
      <c r="B477" t="s">
        <v>33</v>
      </c>
      <c r="C477" t="s">
        <v>94</v>
      </c>
      <c r="D477" s="2">
        <v>2980093.64</v>
      </c>
      <c r="E477" s="2">
        <v>329801.44</v>
      </c>
      <c r="F477" s="2">
        <v>331017.53000000003</v>
      </c>
      <c r="G477" s="2">
        <v>360579.56</v>
      </c>
    </row>
    <row r="478" spans="1:7" x14ac:dyDescent="0.25">
      <c r="A478" s="1">
        <v>44958</v>
      </c>
      <c r="B478" t="s">
        <v>37</v>
      </c>
      <c r="C478" t="s">
        <v>75</v>
      </c>
      <c r="D478" s="2">
        <v>2155004.39</v>
      </c>
      <c r="E478" s="2">
        <v>820794</v>
      </c>
      <c r="F478" s="2">
        <v>601091.65</v>
      </c>
      <c r="G478" s="2">
        <v>2466334.84</v>
      </c>
    </row>
    <row r="479" spans="1:7" x14ac:dyDescent="0.25">
      <c r="A479" s="1">
        <v>44958</v>
      </c>
      <c r="B479" t="s">
        <v>69</v>
      </c>
      <c r="C479" t="s">
        <v>72</v>
      </c>
      <c r="D479" s="2">
        <v>980822.08</v>
      </c>
      <c r="E479" s="2">
        <v>4070411.84</v>
      </c>
      <c r="F479" s="2">
        <v>4096178.84</v>
      </c>
      <c r="G479">
        <v>0</v>
      </c>
    </row>
    <row r="480" spans="1:7" x14ac:dyDescent="0.25">
      <c r="A480" s="1">
        <v>44958</v>
      </c>
      <c r="B480" t="s">
        <v>91</v>
      </c>
      <c r="C480" t="s">
        <v>109</v>
      </c>
      <c r="D480" s="2">
        <v>222167833.72999999</v>
      </c>
      <c r="E480" s="2">
        <v>160365.82</v>
      </c>
      <c r="F480" s="2">
        <v>146414.26</v>
      </c>
      <c r="G480" s="2">
        <v>12205282.82</v>
      </c>
    </row>
    <row r="481" spans="1:7" x14ac:dyDescent="0.25">
      <c r="A481" s="1">
        <v>44958</v>
      </c>
      <c r="B481" t="s">
        <v>28</v>
      </c>
      <c r="C481" t="s">
        <v>57</v>
      </c>
      <c r="D481" s="2">
        <v>-85347911.430000007</v>
      </c>
      <c r="E481" s="2">
        <v>197169380.78999999</v>
      </c>
      <c r="F481" s="2">
        <v>212770932.13999999</v>
      </c>
      <c r="G481" s="2">
        <v>11445666.210000001</v>
      </c>
    </row>
    <row r="482" spans="1:7" x14ac:dyDescent="0.25">
      <c r="A482" s="1">
        <v>44958</v>
      </c>
      <c r="B482" t="s">
        <v>43</v>
      </c>
      <c r="C482" t="s">
        <v>14</v>
      </c>
      <c r="D482" s="2">
        <v>9366924.2699999996</v>
      </c>
      <c r="E482" s="2">
        <v>488623.12</v>
      </c>
      <c r="F482" s="2">
        <v>392649.93</v>
      </c>
      <c r="G482" s="2">
        <v>560605.12</v>
      </c>
    </row>
    <row r="483" spans="1:7" x14ac:dyDescent="0.25">
      <c r="A483" s="1">
        <v>44958</v>
      </c>
      <c r="B483" t="s">
        <v>26</v>
      </c>
      <c r="C483" t="s">
        <v>48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 s="1">
        <v>44958</v>
      </c>
      <c r="B484" t="s">
        <v>26</v>
      </c>
      <c r="C484" t="s">
        <v>66</v>
      </c>
      <c r="D484" s="2">
        <v>8626.1200000000008</v>
      </c>
      <c r="E484" s="2">
        <v>1353.59</v>
      </c>
      <c r="F484" s="2">
        <v>1846.14</v>
      </c>
      <c r="G484" s="2">
        <v>1063894.29</v>
      </c>
    </row>
    <row r="485" spans="1:7" x14ac:dyDescent="0.25">
      <c r="A485" s="1">
        <v>44958</v>
      </c>
      <c r="B485" t="s">
        <v>91</v>
      </c>
      <c r="C485" t="s">
        <v>78</v>
      </c>
      <c r="D485">
        <v>0</v>
      </c>
      <c r="E485">
        <v>0</v>
      </c>
      <c r="F485">
        <v>0</v>
      </c>
      <c r="G485" s="2">
        <v>70495.210000000006</v>
      </c>
    </row>
    <row r="486" spans="1:7" x14ac:dyDescent="0.25">
      <c r="A486" s="1">
        <v>44958</v>
      </c>
      <c r="B486" t="s">
        <v>33</v>
      </c>
      <c r="C486" t="s">
        <v>12</v>
      </c>
      <c r="D486" s="2">
        <v>27259.07</v>
      </c>
      <c r="E486">
        <v>0</v>
      </c>
      <c r="F486">
        <v>0</v>
      </c>
      <c r="G486" s="2">
        <v>338344.66</v>
      </c>
    </row>
    <row r="487" spans="1:7" x14ac:dyDescent="0.25">
      <c r="A487" s="1">
        <v>44958</v>
      </c>
      <c r="B487" t="s">
        <v>9</v>
      </c>
      <c r="C487" t="s">
        <v>106</v>
      </c>
      <c r="D487" s="2">
        <v>2402179.65</v>
      </c>
      <c r="E487" s="2">
        <v>2031215.25</v>
      </c>
      <c r="F487" s="2">
        <v>1980238.95</v>
      </c>
      <c r="G487" s="2">
        <v>9659547.9100000001</v>
      </c>
    </row>
    <row r="488" spans="1:7" x14ac:dyDescent="0.25">
      <c r="A488" s="1">
        <v>44958</v>
      </c>
      <c r="B488" t="s">
        <v>15</v>
      </c>
      <c r="C488" t="s">
        <v>103</v>
      </c>
      <c r="D488" s="2">
        <v>3301432.97</v>
      </c>
      <c r="E488" s="2">
        <v>3809423.23</v>
      </c>
      <c r="F488" s="2">
        <v>1818300.38</v>
      </c>
      <c r="G488" s="2">
        <v>236090.73</v>
      </c>
    </row>
    <row r="489" spans="1:7" x14ac:dyDescent="0.25">
      <c r="A489" s="1">
        <v>44958</v>
      </c>
      <c r="B489" t="s">
        <v>65</v>
      </c>
      <c r="C489" t="s">
        <v>75</v>
      </c>
      <c r="D489" s="2">
        <v>909677.66</v>
      </c>
      <c r="E489" s="2">
        <v>800109.86</v>
      </c>
      <c r="F489" s="2">
        <v>794273.65</v>
      </c>
      <c r="G489" s="2">
        <v>1408396.66</v>
      </c>
    </row>
    <row r="490" spans="1:7" x14ac:dyDescent="0.25">
      <c r="A490" s="1">
        <v>44958</v>
      </c>
      <c r="B490" t="s">
        <v>33</v>
      </c>
      <c r="C490" t="s">
        <v>64</v>
      </c>
      <c r="D490" s="2">
        <v>7031594.4000000004</v>
      </c>
      <c r="E490" s="2">
        <v>936985.85</v>
      </c>
      <c r="F490" s="2">
        <v>712026.99</v>
      </c>
      <c r="G490" s="2">
        <v>1591768</v>
      </c>
    </row>
    <row r="491" spans="1:7" x14ac:dyDescent="0.25">
      <c r="A491" s="1">
        <v>44958</v>
      </c>
      <c r="B491" t="s">
        <v>62</v>
      </c>
      <c r="C491" t="s">
        <v>72</v>
      </c>
      <c r="D491" s="2">
        <v>16203816.32</v>
      </c>
      <c r="E491" s="2">
        <v>2298169.09</v>
      </c>
      <c r="F491" s="2">
        <v>1698195.3</v>
      </c>
      <c r="G491">
        <v>0</v>
      </c>
    </row>
    <row r="492" spans="1:7" x14ac:dyDescent="0.25">
      <c r="A492" s="1">
        <v>44958</v>
      </c>
      <c r="B492" t="s">
        <v>33</v>
      </c>
      <c r="C492" t="s">
        <v>76</v>
      </c>
      <c r="D492" s="2">
        <v>3241514.92</v>
      </c>
      <c r="E492" s="2">
        <v>905847.28</v>
      </c>
      <c r="F492" s="2">
        <v>219273.5</v>
      </c>
      <c r="G492">
        <v>0</v>
      </c>
    </row>
    <row r="493" spans="1:7" x14ac:dyDescent="0.25">
      <c r="A493" s="1">
        <v>44958</v>
      </c>
      <c r="B493" t="s">
        <v>91</v>
      </c>
      <c r="C493" t="s">
        <v>72</v>
      </c>
      <c r="D493" s="2">
        <v>5502584.0499999998</v>
      </c>
      <c r="E493" s="2">
        <v>6669794.3600000003</v>
      </c>
      <c r="F493" s="2">
        <v>6612005.5300000003</v>
      </c>
      <c r="G493">
        <v>0</v>
      </c>
    </row>
    <row r="494" spans="1:7" x14ac:dyDescent="0.25">
      <c r="A494" s="1">
        <v>44958</v>
      </c>
      <c r="B494" t="s">
        <v>69</v>
      </c>
      <c r="C494" t="s">
        <v>77</v>
      </c>
      <c r="D494" s="2">
        <v>-39116.79</v>
      </c>
      <c r="E494" s="2">
        <v>594705.71</v>
      </c>
      <c r="F494" s="2">
        <v>594705.71</v>
      </c>
      <c r="G494" s="2">
        <v>1935000</v>
      </c>
    </row>
    <row r="495" spans="1:7" x14ac:dyDescent="0.25">
      <c r="A495" s="1">
        <v>44958</v>
      </c>
      <c r="B495" t="s">
        <v>54</v>
      </c>
      <c r="C495" t="s">
        <v>98</v>
      </c>
      <c r="D495" s="2">
        <v>1451190</v>
      </c>
      <c r="E495">
        <v>0</v>
      </c>
      <c r="F495">
        <v>0</v>
      </c>
      <c r="G495" s="2">
        <v>292239.5</v>
      </c>
    </row>
    <row r="496" spans="1:7" x14ac:dyDescent="0.25">
      <c r="A496" s="1">
        <v>44958</v>
      </c>
      <c r="B496" t="s">
        <v>87</v>
      </c>
      <c r="C496" t="s">
        <v>77</v>
      </c>
      <c r="D496" s="2">
        <v>18076.7</v>
      </c>
      <c r="E496" s="2">
        <v>5164.5</v>
      </c>
      <c r="F496" s="2">
        <v>5164.5</v>
      </c>
      <c r="G496" s="2">
        <v>4076627.75</v>
      </c>
    </row>
    <row r="497" spans="1:7" x14ac:dyDescent="0.25">
      <c r="A497" s="1">
        <v>44958</v>
      </c>
      <c r="B497" t="s">
        <v>7</v>
      </c>
      <c r="C497" t="s">
        <v>16</v>
      </c>
      <c r="D497" s="2">
        <v>1074118</v>
      </c>
      <c r="E497">
        <v>0</v>
      </c>
      <c r="F497">
        <v>0</v>
      </c>
      <c r="G497" s="2">
        <v>2633635.7599999998</v>
      </c>
    </row>
    <row r="498" spans="1:7" x14ac:dyDescent="0.25">
      <c r="A498" s="1">
        <v>44958</v>
      </c>
      <c r="B498" t="s">
        <v>21</v>
      </c>
      <c r="C498" t="s">
        <v>84</v>
      </c>
      <c r="D498" s="2">
        <v>1150353</v>
      </c>
      <c r="E498" s="2">
        <v>257146.56</v>
      </c>
      <c r="F498" s="2">
        <v>257146.56</v>
      </c>
      <c r="G498" s="2">
        <v>155329228.81999999</v>
      </c>
    </row>
    <row r="499" spans="1:7" x14ac:dyDescent="0.25">
      <c r="A499" s="1">
        <v>44958</v>
      </c>
      <c r="B499" t="s">
        <v>104</v>
      </c>
      <c r="C499" t="s">
        <v>108</v>
      </c>
      <c r="D499" s="2">
        <v>-314361.53999999998</v>
      </c>
      <c r="E499" s="2">
        <v>430193.93</v>
      </c>
      <c r="F499" s="2">
        <v>430193.93</v>
      </c>
      <c r="G499" s="2">
        <v>11833371.939999999</v>
      </c>
    </row>
    <row r="500" spans="1:7" x14ac:dyDescent="0.25">
      <c r="A500" s="1">
        <v>44958</v>
      </c>
      <c r="B500" t="s">
        <v>23</v>
      </c>
      <c r="C500" t="s">
        <v>14</v>
      </c>
      <c r="D500" s="2">
        <v>21463377.68</v>
      </c>
      <c r="E500" s="2">
        <v>877556.39</v>
      </c>
      <c r="F500" s="2">
        <v>187438.29</v>
      </c>
      <c r="G500" s="2">
        <v>34163012.130000003</v>
      </c>
    </row>
    <row r="501" spans="1:7" x14ac:dyDescent="0.25">
      <c r="A501" s="1">
        <v>44958</v>
      </c>
      <c r="B501" t="s">
        <v>17</v>
      </c>
      <c r="C501" t="s">
        <v>55</v>
      </c>
      <c r="D501">
        <v>0</v>
      </c>
      <c r="E501">
        <v>0</v>
      </c>
      <c r="F501">
        <v>0</v>
      </c>
      <c r="G501" s="2">
        <v>880347.34</v>
      </c>
    </row>
    <row r="502" spans="1:7" x14ac:dyDescent="0.25">
      <c r="A502" s="1">
        <v>44958</v>
      </c>
      <c r="B502" t="s">
        <v>36</v>
      </c>
      <c r="C502" t="s">
        <v>101</v>
      </c>
      <c r="D502" s="2">
        <v>39746008474.449997</v>
      </c>
      <c r="E502" s="2">
        <v>13808067470.09</v>
      </c>
      <c r="F502" s="2">
        <v>13805107370.09</v>
      </c>
      <c r="G502" s="2">
        <v>85455448.969999999</v>
      </c>
    </row>
    <row r="503" spans="1:7" x14ac:dyDescent="0.25">
      <c r="A503" s="1">
        <v>44958</v>
      </c>
      <c r="B503" t="s">
        <v>43</v>
      </c>
      <c r="C503" t="s">
        <v>112</v>
      </c>
      <c r="D503" s="2">
        <v>1969857.81</v>
      </c>
      <c r="E503" s="2">
        <v>263609.38</v>
      </c>
      <c r="F503" s="2">
        <v>264208.32</v>
      </c>
      <c r="G503">
        <v>0</v>
      </c>
    </row>
    <row r="504" spans="1:7" x14ac:dyDescent="0.25">
      <c r="A504" s="1">
        <v>44958</v>
      </c>
      <c r="B504" t="s">
        <v>62</v>
      </c>
      <c r="C504" t="s">
        <v>107</v>
      </c>
      <c r="D504" s="2">
        <v>4441506.92</v>
      </c>
      <c r="E504" s="2">
        <v>2790635.73</v>
      </c>
      <c r="F504" s="2">
        <v>178983.28</v>
      </c>
      <c r="G504" s="2">
        <v>5517558.3499999996</v>
      </c>
    </row>
    <row r="505" spans="1:7" x14ac:dyDescent="0.25">
      <c r="A505" s="1">
        <v>44958</v>
      </c>
      <c r="B505" t="s">
        <v>43</v>
      </c>
      <c r="C505" t="s">
        <v>72</v>
      </c>
      <c r="D505" s="2">
        <v>10909122.619999999</v>
      </c>
      <c r="E505" s="2">
        <v>5367585.96</v>
      </c>
      <c r="F505" s="2">
        <v>5351145.96</v>
      </c>
      <c r="G505">
        <v>0</v>
      </c>
    </row>
    <row r="506" spans="1:7" x14ac:dyDescent="0.25">
      <c r="A506" s="1">
        <v>44958</v>
      </c>
      <c r="B506" t="s">
        <v>41</v>
      </c>
      <c r="C506" t="s">
        <v>85</v>
      </c>
      <c r="D506" s="2">
        <v>179420.64</v>
      </c>
      <c r="E506" s="2">
        <v>176670.64</v>
      </c>
      <c r="F506" s="2">
        <v>176670.64</v>
      </c>
      <c r="G506" s="2">
        <v>3321762.99</v>
      </c>
    </row>
    <row r="507" spans="1:7" x14ac:dyDescent="0.25">
      <c r="A507" s="1">
        <v>44958</v>
      </c>
      <c r="B507" t="s">
        <v>91</v>
      </c>
      <c r="C507" t="s">
        <v>75</v>
      </c>
      <c r="D507" s="2">
        <v>-2804362.47</v>
      </c>
      <c r="E507" s="2">
        <v>2006764.35</v>
      </c>
      <c r="F507" s="2">
        <v>2156838.88</v>
      </c>
      <c r="G507" s="2">
        <v>6910641.9800000004</v>
      </c>
    </row>
    <row r="508" spans="1:7" x14ac:dyDescent="0.25">
      <c r="A508" s="1">
        <v>44958</v>
      </c>
      <c r="B508" t="s">
        <v>23</v>
      </c>
      <c r="C508" t="s">
        <v>12</v>
      </c>
      <c r="D508" s="2">
        <v>132706021.16</v>
      </c>
      <c r="E508" s="2">
        <v>125851536.15000001</v>
      </c>
      <c r="F508" s="2">
        <v>122212467.92</v>
      </c>
      <c r="G508" s="2">
        <v>2952212.78</v>
      </c>
    </row>
    <row r="509" spans="1:7" x14ac:dyDescent="0.25">
      <c r="A509" s="1">
        <v>44958</v>
      </c>
      <c r="B509" t="s">
        <v>47</v>
      </c>
      <c r="C509" t="s">
        <v>76</v>
      </c>
      <c r="D509" s="2">
        <v>68410621.900000006</v>
      </c>
      <c r="E509" s="2">
        <v>15554723.109999999</v>
      </c>
      <c r="F509" s="2">
        <v>8002512.1900000004</v>
      </c>
      <c r="G509" s="2">
        <v>23102200.140000001</v>
      </c>
    </row>
    <row r="510" spans="1:7" x14ac:dyDescent="0.25">
      <c r="A510" s="1">
        <v>44958</v>
      </c>
      <c r="B510" t="s">
        <v>17</v>
      </c>
      <c r="C510" t="s">
        <v>126</v>
      </c>
      <c r="D510" s="2">
        <v>50755924.829999998</v>
      </c>
      <c r="E510" s="2">
        <v>5684603.96</v>
      </c>
      <c r="F510" s="2">
        <v>22325227.23</v>
      </c>
      <c r="G510" s="2">
        <v>20932345.399999999</v>
      </c>
    </row>
    <row r="511" spans="1:7" x14ac:dyDescent="0.25">
      <c r="A511" s="1">
        <v>44958</v>
      </c>
      <c r="B511" t="s">
        <v>28</v>
      </c>
      <c r="C511" t="s">
        <v>90</v>
      </c>
      <c r="D511" s="2">
        <v>-274699.89</v>
      </c>
      <c r="E511" s="2">
        <v>139551.17000000001</v>
      </c>
      <c r="F511" s="2">
        <v>129909.49</v>
      </c>
      <c r="G511">
        <v>0</v>
      </c>
    </row>
    <row r="512" spans="1:7" x14ac:dyDescent="0.25">
      <c r="A512" s="1">
        <v>44958</v>
      </c>
      <c r="B512" t="s">
        <v>37</v>
      </c>
      <c r="C512" t="s">
        <v>72</v>
      </c>
      <c r="D512" s="2">
        <v>8681.33</v>
      </c>
      <c r="E512" s="2">
        <v>1232766.9099999999</v>
      </c>
      <c r="F512" s="2">
        <v>1224148.1299999999</v>
      </c>
      <c r="G512">
        <v>0</v>
      </c>
    </row>
    <row r="513" spans="1:7" x14ac:dyDescent="0.25">
      <c r="A513" s="1">
        <v>44958</v>
      </c>
      <c r="B513" t="s">
        <v>13</v>
      </c>
      <c r="C513" t="s">
        <v>55</v>
      </c>
      <c r="D513" s="2">
        <v>164955</v>
      </c>
      <c r="E513" s="2">
        <v>34607.129999999997</v>
      </c>
      <c r="F513" s="2">
        <v>33595.65</v>
      </c>
      <c r="G513" s="2">
        <v>4336410.41</v>
      </c>
    </row>
    <row r="514" spans="1:7" x14ac:dyDescent="0.25">
      <c r="A514" s="1">
        <v>44958</v>
      </c>
      <c r="B514" t="s">
        <v>43</v>
      </c>
      <c r="C514" t="s">
        <v>75</v>
      </c>
      <c r="D514" s="2">
        <v>48320091.109999999</v>
      </c>
      <c r="E514" s="2">
        <v>48791929.409999996</v>
      </c>
      <c r="F514" s="2">
        <v>48680527.329999998</v>
      </c>
      <c r="G514" s="2">
        <v>1035992.18</v>
      </c>
    </row>
    <row r="515" spans="1:7" x14ac:dyDescent="0.25">
      <c r="A515" s="1">
        <v>44958</v>
      </c>
      <c r="B515" t="s">
        <v>54</v>
      </c>
      <c r="C515" t="s">
        <v>22</v>
      </c>
      <c r="D515" s="2">
        <v>6765042.6500000004</v>
      </c>
      <c r="E515" s="2">
        <v>18805663.550000001</v>
      </c>
      <c r="F515" s="2">
        <v>18787135.23</v>
      </c>
      <c r="G515">
        <v>0</v>
      </c>
    </row>
    <row r="516" spans="1:7" x14ac:dyDescent="0.25">
      <c r="A516" s="1">
        <v>44958</v>
      </c>
      <c r="B516" t="s">
        <v>54</v>
      </c>
      <c r="C516" t="s">
        <v>20</v>
      </c>
      <c r="D516" s="2">
        <v>1909013.98</v>
      </c>
      <c r="E516" s="2">
        <v>612604.48</v>
      </c>
      <c r="F516" s="2">
        <v>502497.85</v>
      </c>
      <c r="G516" s="2">
        <v>2367674.66</v>
      </c>
    </row>
    <row r="517" spans="1:7" x14ac:dyDescent="0.25">
      <c r="A517" s="1">
        <v>44958</v>
      </c>
      <c r="B517" t="s">
        <v>9</v>
      </c>
      <c r="C517" t="s">
        <v>24</v>
      </c>
      <c r="D517">
        <v>0</v>
      </c>
      <c r="E517">
        <v>0</v>
      </c>
      <c r="F517">
        <v>0</v>
      </c>
      <c r="G517" s="2">
        <v>1618574.75</v>
      </c>
    </row>
    <row r="518" spans="1:7" x14ac:dyDescent="0.25">
      <c r="A518" s="1">
        <v>44958</v>
      </c>
      <c r="B518" t="s">
        <v>37</v>
      </c>
      <c r="C518" t="s">
        <v>24</v>
      </c>
      <c r="D518" s="2">
        <v>4385348.45</v>
      </c>
      <c r="E518" s="2">
        <v>2496355.36</v>
      </c>
      <c r="F518" s="2">
        <v>2291637.42</v>
      </c>
      <c r="G518" s="2">
        <v>9477174.8499999996</v>
      </c>
    </row>
    <row r="519" spans="1:7" x14ac:dyDescent="0.25">
      <c r="A519" s="1">
        <v>44958</v>
      </c>
      <c r="B519" t="s">
        <v>37</v>
      </c>
      <c r="C519" t="s">
        <v>117</v>
      </c>
      <c r="D519" s="2">
        <v>1921379.06</v>
      </c>
      <c r="E519" s="2">
        <v>321698.53000000003</v>
      </c>
      <c r="F519" s="2">
        <v>295266.71000000002</v>
      </c>
      <c r="G519" s="2">
        <v>1770287.1</v>
      </c>
    </row>
    <row r="520" spans="1:7" x14ac:dyDescent="0.25">
      <c r="A520" s="1">
        <v>44958</v>
      </c>
      <c r="B520" t="s">
        <v>17</v>
      </c>
      <c r="C520" t="s">
        <v>40</v>
      </c>
      <c r="D520" s="2">
        <v>-22269982.550000001</v>
      </c>
      <c r="E520" s="2">
        <v>336168634.29000002</v>
      </c>
      <c r="F520" s="2">
        <v>336080273.16000003</v>
      </c>
      <c r="G520" s="2">
        <v>143241050.94</v>
      </c>
    </row>
    <row r="521" spans="1:7" x14ac:dyDescent="0.25">
      <c r="A521" s="1">
        <v>44958</v>
      </c>
      <c r="B521" t="s">
        <v>13</v>
      </c>
      <c r="C521" t="s">
        <v>75</v>
      </c>
      <c r="D521" s="2">
        <v>50001</v>
      </c>
      <c r="E521" s="2">
        <v>1910.08</v>
      </c>
      <c r="F521" s="2">
        <v>1910.08</v>
      </c>
      <c r="G521" s="2">
        <v>584434.06000000006</v>
      </c>
    </row>
    <row r="522" spans="1:7" x14ac:dyDescent="0.25">
      <c r="A522" s="1">
        <v>44958</v>
      </c>
      <c r="B522" t="s">
        <v>47</v>
      </c>
      <c r="C522" t="s">
        <v>57</v>
      </c>
      <c r="D522" s="2">
        <v>2958519.64</v>
      </c>
      <c r="E522" s="2">
        <v>45943189.409999996</v>
      </c>
      <c r="F522" s="2">
        <v>69356641.819999993</v>
      </c>
      <c r="G522" s="2">
        <v>11055311.48</v>
      </c>
    </row>
    <row r="523" spans="1:7" x14ac:dyDescent="0.25">
      <c r="A523" s="1">
        <v>44958</v>
      </c>
      <c r="B523" t="s">
        <v>54</v>
      </c>
      <c r="C523" t="s">
        <v>10</v>
      </c>
      <c r="D523" s="2">
        <v>1491348.86</v>
      </c>
      <c r="E523" s="2">
        <v>5405296.79</v>
      </c>
      <c r="F523" s="2">
        <v>5384410.1799999997</v>
      </c>
      <c r="G523" s="2">
        <v>11058318.27</v>
      </c>
    </row>
    <row r="524" spans="1:7" x14ac:dyDescent="0.25">
      <c r="A524" s="1">
        <v>44958</v>
      </c>
      <c r="B524" t="s">
        <v>54</v>
      </c>
      <c r="C524" t="s">
        <v>119</v>
      </c>
      <c r="D524" s="2">
        <v>2254268.06</v>
      </c>
      <c r="E524" s="2">
        <v>1267903.6200000001</v>
      </c>
      <c r="F524" s="2">
        <v>1149687.67</v>
      </c>
      <c r="G524" s="2">
        <v>458686.65</v>
      </c>
    </row>
    <row r="525" spans="1:7" x14ac:dyDescent="0.25">
      <c r="A525" s="1">
        <v>44958</v>
      </c>
      <c r="B525" t="s">
        <v>43</v>
      </c>
      <c r="C525" t="s">
        <v>66</v>
      </c>
      <c r="D525" s="2">
        <v>212604.12</v>
      </c>
      <c r="E525" s="2">
        <v>88814.02</v>
      </c>
      <c r="F525" s="2">
        <v>57209.31</v>
      </c>
      <c r="G525" s="2">
        <v>395157.74</v>
      </c>
    </row>
    <row r="526" spans="1:7" x14ac:dyDescent="0.25">
      <c r="A526" s="1">
        <v>44958</v>
      </c>
      <c r="B526" t="s">
        <v>15</v>
      </c>
      <c r="C526" t="s">
        <v>75</v>
      </c>
      <c r="D526" s="2">
        <v>9291657.4199999999</v>
      </c>
      <c r="E526" s="2">
        <v>6446799.96</v>
      </c>
      <c r="F526" s="2">
        <v>6392404.1900000004</v>
      </c>
      <c r="G526" s="2">
        <v>4416586.66</v>
      </c>
    </row>
    <row r="527" spans="1:7" x14ac:dyDescent="0.25">
      <c r="A527" s="1">
        <v>44958</v>
      </c>
      <c r="B527" t="s">
        <v>54</v>
      </c>
      <c r="C527" t="s">
        <v>103</v>
      </c>
      <c r="D527" s="2">
        <v>26411811.18</v>
      </c>
      <c r="E527" s="2">
        <v>2353815</v>
      </c>
      <c r="F527" s="2">
        <v>437586.06</v>
      </c>
      <c r="G527" s="2">
        <v>3352947.76</v>
      </c>
    </row>
    <row r="528" spans="1:7" x14ac:dyDescent="0.25">
      <c r="A528" s="1">
        <v>44958</v>
      </c>
      <c r="B528" t="s">
        <v>15</v>
      </c>
      <c r="C528" t="s">
        <v>78</v>
      </c>
      <c r="D528">
        <v>0</v>
      </c>
      <c r="E528">
        <v>0</v>
      </c>
      <c r="F528">
        <v>0</v>
      </c>
      <c r="G528" s="2">
        <v>35625.480000000003</v>
      </c>
    </row>
    <row r="529" spans="1:7" x14ac:dyDescent="0.25">
      <c r="A529" s="1">
        <v>44958</v>
      </c>
      <c r="B529" t="s">
        <v>23</v>
      </c>
      <c r="C529" t="s">
        <v>121</v>
      </c>
      <c r="D529" s="2">
        <v>14942293.039999999</v>
      </c>
      <c r="E529" s="2">
        <v>2463228.39</v>
      </c>
      <c r="F529" s="2">
        <v>2159573.2200000002</v>
      </c>
      <c r="G529" s="2">
        <v>16234142.83</v>
      </c>
    </row>
    <row r="530" spans="1:7" x14ac:dyDescent="0.25">
      <c r="A530" s="1">
        <v>44958</v>
      </c>
      <c r="B530" t="s">
        <v>33</v>
      </c>
      <c r="C530" t="s">
        <v>119</v>
      </c>
      <c r="D530" s="2">
        <v>7272296.5700000003</v>
      </c>
      <c r="E530" s="2">
        <v>3401787.15</v>
      </c>
      <c r="F530" s="2">
        <v>3330076.28</v>
      </c>
      <c r="G530" s="2">
        <v>1179728.51</v>
      </c>
    </row>
    <row r="531" spans="1:7" x14ac:dyDescent="0.25">
      <c r="A531" s="1">
        <v>44958</v>
      </c>
      <c r="B531" t="s">
        <v>28</v>
      </c>
      <c r="C531" t="s">
        <v>124</v>
      </c>
      <c r="D531" s="2">
        <v>4686759017.71</v>
      </c>
      <c r="E531" s="2">
        <v>64216059652.279999</v>
      </c>
      <c r="F531" s="2">
        <v>63755339298.57</v>
      </c>
      <c r="G531" s="2">
        <v>483099219.11000001</v>
      </c>
    </row>
    <row r="532" spans="1:7" x14ac:dyDescent="0.25">
      <c r="A532" s="1">
        <v>44958</v>
      </c>
      <c r="B532" t="s">
        <v>23</v>
      </c>
      <c r="C532" t="s">
        <v>115</v>
      </c>
      <c r="D532" s="2">
        <v>2011600126.3499999</v>
      </c>
      <c r="E532" s="2">
        <v>120615424.89</v>
      </c>
      <c r="F532" s="2">
        <v>119421564.63</v>
      </c>
      <c r="G532" s="2">
        <v>1322652957.45</v>
      </c>
    </row>
    <row r="533" spans="1:7" x14ac:dyDescent="0.25">
      <c r="A533" s="1">
        <v>44958</v>
      </c>
      <c r="B533" t="s">
        <v>33</v>
      </c>
      <c r="C533" t="s">
        <v>72</v>
      </c>
      <c r="D533" s="2">
        <v>116172960.61</v>
      </c>
      <c r="E533" s="2">
        <v>69182259.049999997</v>
      </c>
      <c r="F533" s="2">
        <v>71402163.299999997</v>
      </c>
      <c r="G533">
        <v>0</v>
      </c>
    </row>
    <row r="534" spans="1:7" x14ac:dyDescent="0.25">
      <c r="A534" s="1">
        <v>44958</v>
      </c>
      <c r="B534" t="s">
        <v>43</v>
      </c>
      <c r="C534" t="s">
        <v>127</v>
      </c>
      <c r="D534" s="2">
        <v>2094799.22</v>
      </c>
      <c r="E534" s="2">
        <v>611228.61</v>
      </c>
      <c r="F534" s="2">
        <v>266814.05</v>
      </c>
      <c r="G534" s="2">
        <v>1866281.99</v>
      </c>
    </row>
    <row r="535" spans="1:7" x14ac:dyDescent="0.25">
      <c r="A535" s="1">
        <v>44958</v>
      </c>
      <c r="B535" t="s">
        <v>23</v>
      </c>
      <c r="C535" t="s">
        <v>117</v>
      </c>
      <c r="D535" s="2">
        <v>217047009.31999999</v>
      </c>
      <c r="E535" s="2">
        <v>75089697.359999999</v>
      </c>
      <c r="F535" s="2">
        <v>91678161.579999998</v>
      </c>
      <c r="G535" s="2">
        <v>17944349.91</v>
      </c>
    </row>
    <row r="536" spans="1:7" x14ac:dyDescent="0.25">
      <c r="A536" s="1">
        <v>44958</v>
      </c>
      <c r="B536" t="s">
        <v>13</v>
      </c>
      <c r="C536" t="s">
        <v>67</v>
      </c>
      <c r="D536" s="2">
        <v>22181013.760000002</v>
      </c>
      <c r="E536" s="2">
        <v>442105.48</v>
      </c>
      <c r="F536" s="2">
        <v>301805.61</v>
      </c>
      <c r="G536" s="2">
        <v>8299709.2000000002</v>
      </c>
    </row>
    <row r="537" spans="1:7" x14ac:dyDescent="0.25">
      <c r="A537" s="1">
        <v>44958</v>
      </c>
      <c r="B537" t="s">
        <v>17</v>
      </c>
      <c r="C537" t="s">
        <v>48</v>
      </c>
      <c r="D537">
        <v>0</v>
      </c>
      <c r="E537">
        <v>0</v>
      </c>
      <c r="F537">
        <v>0</v>
      </c>
      <c r="G537" s="2">
        <v>206276.07</v>
      </c>
    </row>
    <row r="538" spans="1:7" x14ac:dyDescent="0.25">
      <c r="A538" s="1">
        <v>44958</v>
      </c>
      <c r="B538" t="s">
        <v>91</v>
      </c>
      <c r="C538" t="s">
        <v>79</v>
      </c>
      <c r="D538" s="2">
        <v>21531659.5</v>
      </c>
      <c r="E538" s="2">
        <v>1000</v>
      </c>
      <c r="F538" s="2">
        <v>1000</v>
      </c>
      <c r="G538" s="2">
        <v>9176073.3000000007</v>
      </c>
    </row>
    <row r="539" spans="1:7" x14ac:dyDescent="0.25">
      <c r="A539" s="1">
        <v>44958</v>
      </c>
      <c r="B539" t="s">
        <v>23</v>
      </c>
      <c r="C539" t="s">
        <v>110</v>
      </c>
      <c r="D539" s="2">
        <v>1611995702.52</v>
      </c>
      <c r="E539" s="2">
        <v>541014807.44000006</v>
      </c>
      <c r="F539" s="2">
        <v>455301552.51999998</v>
      </c>
      <c r="G539" s="2">
        <v>1127201308.26</v>
      </c>
    </row>
    <row r="540" spans="1:7" x14ac:dyDescent="0.25">
      <c r="A540" s="1">
        <v>44958</v>
      </c>
      <c r="B540" t="s">
        <v>52</v>
      </c>
      <c r="C540" t="s">
        <v>101</v>
      </c>
      <c r="D540">
        <v>0</v>
      </c>
      <c r="E540">
        <v>0</v>
      </c>
      <c r="F540">
        <v>0</v>
      </c>
      <c r="G540" s="2">
        <v>34468904.07</v>
      </c>
    </row>
    <row r="541" spans="1:7" x14ac:dyDescent="0.25">
      <c r="A541" s="1">
        <v>44958</v>
      </c>
      <c r="B541" t="s">
        <v>52</v>
      </c>
      <c r="C541" t="s">
        <v>78</v>
      </c>
      <c r="D541">
        <v>0</v>
      </c>
      <c r="E541">
        <v>0</v>
      </c>
      <c r="F541">
        <v>0</v>
      </c>
      <c r="G541" s="2">
        <v>1026364.9</v>
      </c>
    </row>
    <row r="542" spans="1:7" x14ac:dyDescent="0.25">
      <c r="A542" s="1">
        <v>44958</v>
      </c>
      <c r="B542" t="s">
        <v>7</v>
      </c>
      <c r="C542" t="s">
        <v>22</v>
      </c>
      <c r="D542" s="2">
        <v>139775373.83000001</v>
      </c>
      <c r="E542" s="2">
        <v>921022678.66999996</v>
      </c>
      <c r="F542" s="2">
        <v>924334222.49000001</v>
      </c>
      <c r="G542" s="2">
        <v>7885.15</v>
      </c>
    </row>
    <row r="543" spans="1:7" x14ac:dyDescent="0.25">
      <c r="A543" s="1">
        <v>44958</v>
      </c>
      <c r="B543" t="s">
        <v>23</v>
      </c>
      <c r="C543" t="s">
        <v>96</v>
      </c>
      <c r="D543" s="2">
        <v>116331477.03</v>
      </c>
      <c r="E543" s="2">
        <v>1748040.34</v>
      </c>
      <c r="F543" s="2">
        <v>1663197.7</v>
      </c>
      <c r="G543" s="2">
        <v>516150.31</v>
      </c>
    </row>
    <row r="544" spans="1:7" x14ac:dyDescent="0.25">
      <c r="A544" s="1">
        <v>44958</v>
      </c>
      <c r="B544" t="s">
        <v>54</v>
      </c>
      <c r="C544" t="s">
        <v>89</v>
      </c>
      <c r="D544">
        <v>0</v>
      </c>
      <c r="E544">
        <v>0</v>
      </c>
      <c r="F544">
        <v>0</v>
      </c>
      <c r="G544" s="2">
        <v>69505.47</v>
      </c>
    </row>
    <row r="545" spans="1:7" x14ac:dyDescent="0.25">
      <c r="A545" s="1">
        <v>44958</v>
      </c>
      <c r="B545" t="s">
        <v>15</v>
      </c>
      <c r="C545" t="s">
        <v>57</v>
      </c>
      <c r="D545" s="2">
        <v>8695824.5899999999</v>
      </c>
      <c r="E545" s="2">
        <v>44913764.390000001</v>
      </c>
      <c r="F545" s="2">
        <v>47141528.130000003</v>
      </c>
      <c r="G545" s="2">
        <v>8408943.0399999991</v>
      </c>
    </row>
    <row r="546" spans="1:7" x14ac:dyDescent="0.25">
      <c r="A546" s="1">
        <v>44958</v>
      </c>
      <c r="B546" t="s">
        <v>52</v>
      </c>
      <c r="C546" t="s">
        <v>57</v>
      </c>
      <c r="D546" s="2">
        <v>69315649.620000005</v>
      </c>
      <c r="E546" s="2">
        <v>49834104.450000003</v>
      </c>
      <c r="F546" s="2">
        <v>52724721.789999999</v>
      </c>
      <c r="G546" s="2">
        <v>1013350.97</v>
      </c>
    </row>
    <row r="547" spans="1:7" x14ac:dyDescent="0.25">
      <c r="A547" s="1">
        <v>44958</v>
      </c>
      <c r="B547" t="s">
        <v>28</v>
      </c>
      <c r="C547" t="s">
        <v>72</v>
      </c>
      <c r="D547" s="2">
        <v>5524580.4900000002</v>
      </c>
      <c r="E547" s="2">
        <v>18740099.079999998</v>
      </c>
      <c r="F547" s="2">
        <v>18248040.68</v>
      </c>
      <c r="G547">
        <v>0</v>
      </c>
    </row>
    <row r="548" spans="1:7" x14ac:dyDescent="0.25">
      <c r="A548" s="1">
        <v>44958</v>
      </c>
      <c r="B548" t="s">
        <v>7</v>
      </c>
      <c r="C548" t="s">
        <v>123</v>
      </c>
      <c r="D548" s="2">
        <v>3530065.45</v>
      </c>
      <c r="E548" s="2">
        <v>1107669.75</v>
      </c>
      <c r="F548" s="2">
        <v>793872.92</v>
      </c>
      <c r="G548" s="2">
        <v>1707025.1</v>
      </c>
    </row>
    <row r="549" spans="1:7" x14ac:dyDescent="0.25">
      <c r="A549" s="1">
        <v>44958</v>
      </c>
      <c r="B549" t="s">
        <v>13</v>
      </c>
      <c r="C549" t="s">
        <v>72</v>
      </c>
      <c r="D549" s="2">
        <v>940993.13</v>
      </c>
      <c r="E549" s="2">
        <v>6968995.6299999999</v>
      </c>
      <c r="F549" s="2">
        <v>5348753.9800000004</v>
      </c>
      <c r="G549">
        <v>0</v>
      </c>
    </row>
    <row r="550" spans="1:7" x14ac:dyDescent="0.25">
      <c r="A550" s="1">
        <v>44958</v>
      </c>
      <c r="B550" t="s">
        <v>17</v>
      </c>
      <c r="C550" t="s">
        <v>75</v>
      </c>
      <c r="D550" s="2">
        <v>5774076.7599999998</v>
      </c>
      <c r="E550" s="2">
        <v>2409260.5499999998</v>
      </c>
      <c r="F550" s="2">
        <v>1896651.37</v>
      </c>
      <c r="G550" s="2">
        <v>10193815.630000001</v>
      </c>
    </row>
    <row r="551" spans="1:7" x14ac:dyDescent="0.25">
      <c r="A551" s="1">
        <v>44958</v>
      </c>
      <c r="B551" t="s">
        <v>11</v>
      </c>
      <c r="C551" t="s">
        <v>39</v>
      </c>
      <c r="D551" s="2">
        <v>366572.83</v>
      </c>
      <c r="E551" s="2">
        <v>290717.55</v>
      </c>
      <c r="F551" s="2">
        <v>290717.55</v>
      </c>
      <c r="G551" s="2">
        <v>262207.24</v>
      </c>
    </row>
    <row r="552" spans="1:7" x14ac:dyDescent="0.25">
      <c r="A552" s="1">
        <v>44958</v>
      </c>
      <c r="B552" t="s">
        <v>91</v>
      </c>
      <c r="C552" t="s">
        <v>57</v>
      </c>
      <c r="D552" s="2">
        <v>186253607.09</v>
      </c>
      <c r="E552" s="2">
        <v>112955119.23</v>
      </c>
      <c r="F552" s="2">
        <v>116719912.87</v>
      </c>
      <c r="G552" s="2">
        <v>40518943.560000002</v>
      </c>
    </row>
    <row r="553" spans="1:7" x14ac:dyDescent="0.25">
      <c r="A553" s="1">
        <v>44958</v>
      </c>
      <c r="B553" t="s">
        <v>13</v>
      </c>
      <c r="C553" t="s">
        <v>103</v>
      </c>
      <c r="D553" s="2">
        <v>470901172.69</v>
      </c>
      <c r="E553" s="2">
        <v>417390349.63999999</v>
      </c>
      <c r="F553" s="2">
        <v>82184751.150000006</v>
      </c>
      <c r="G553" s="2">
        <v>26538072.59</v>
      </c>
    </row>
    <row r="554" spans="1:7" x14ac:dyDescent="0.25">
      <c r="A554" s="1">
        <v>44958</v>
      </c>
      <c r="B554" t="s">
        <v>7</v>
      </c>
      <c r="C554" t="s">
        <v>57</v>
      </c>
      <c r="D554" s="2">
        <v>103954958.04000001</v>
      </c>
      <c r="E554" s="2">
        <v>55379116.18</v>
      </c>
      <c r="F554" s="2">
        <v>54223626.630000003</v>
      </c>
      <c r="G554" s="2">
        <v>37987460.390000001</v>
      </c>
    </row>
    <row r="555" spans="1:7" x14ac:dyDescent="0.25">
      <c r="A555" s="1">
        <v>44958</v>
      </c>
      <c r="B555" t="s">
        <v>33</v>
      </c>
      <c r="C555" t="s">
        <v>75</v>
      </c>
      <c r="D555" s="2">
        <v>11991649.109999999</v>
      </c>
      <c r="E555" s="2">
        <v>8800820.2200000007</v>
      </c>
      <c r="F555" s="2">
        <v>7862797.5700000003</v>
      </c>
      <c r="G555" s="2">
        <v>7798072.6799999997</v>
      </c>
    </row>
    <row r="556" spans="1:7" x14ac:dyDescent="0.25">
      <c r="A556" s="1">
        <v>44958</v>
      </c>
      <c r="B556" t="s">
        <v>17</v>
      </c>
      <c r="C556" t="s">
        <v>72</v>
      </c>
      <c r="D556" s="2">
        <v>-36910485.659999996</v>
      </c>
      <c r="E556" s="2">
        <v>-2108295.59</v>
      </c>
      <c r="F556" s="2">
        <v>2455028.29</v>
      </c>
      <c r="G556">
        <v>0</v>
      </c>
    </row>
    <row r="557" spans="1:7" x14ac:dyDescent="0.25">
      <c r="A557" s="1">
        <v>44958</v>
      </c>
      <c r="B557" t="s">
        <v>7</v>
      </c>
      <c r="C557" t="s">
        <v>72</v>
      </c>
      <c r="D557" s="2">
        <v>26731360.190000001</v>
      </c>
      <c r="E557" s="2">
        <v>242505653.24000001</v>
      </c>
      <c r="F557" s="2">
        <v>214675530.12</v>
      </c>
      <c r="G557">
        <v>0</v>
      </c>
    </row>
    <row r="558" spans="1:7" x14ac:dyDescent="0.25">
      <c r="A558" s="1">
        <v>44958</v>
      </c>
      <c r="B558" t="s">
        <v>27</v>
      </c>
      <c r="C558" t="s">
        <v>99</v>
      </c>
      <c r="D558" s="2">
        <v>35257943.009999998</v>
      </c>
      <c r="E558" s="2">
        <v>18900069.149999999</v>
      </c>
      <c r="F558" s="2">
        <v>18184646.510000002</v>
      </c>
      <c r="G558" s="2">
        <v>8954250.1699999999</v>
      </c>
    </row>
    <row r="559" spans="1:7" x14ac:dyDescent="0.25">
      <c r="A559" s="1">
        <v>44958</v>
      </c>
      <c r="B559" t="s">
        <v>7</v>
      </c>
      <c r="C559" t="s">
        <v>58</v>
      </c>
      <c r="D559" s="2">
        <v>3810379042.5599999</v>
      </c>
      <c r="E559" s="2">
        <v>368897850.38999999</v>
      </c>
      <c r="F559" s="2">
        <v>368897850.38999999</v>
      </c>
      <c r="G559" s="2">
        <v>1979871.77</v>
      </c>
    </row>
    <row r="560" spans="1:7" x14ac:dyDescent="0.25">
      <c r="A560" s="1">
        <v>44958</v>
      </c>
      <c r="B560" t="s">
        <v>54</v>
      </c>
      <c r="C560" t="s">
        <v>68</v>
      </c>
      <c r="D560" s="2">
        <v>139073.87</v>
      </c>
      <c r="E560" s="2">
        <v>104936.7</v>
      </c>
      <c r="F560" s="2">
        <v>60063.37</v>
      </c>
      <c r="G560" s="2">
        <v>6999740.9800000004</v>
      </c>
    </row>
    <row r="561" spans="1:7" x14ac:dyDescent="0.25">
      <c r="A561" s="1">
        <v>44958</v>
      </c>
      <c r="B561" t="s">
        <v>65</v>
      </c>
      <c r="C561" t="s">
        <v>22</v>
      </c>
      <c r="D561" s="2">
        <v>-11500</v>
      </c>
      <c r="E561" s="2">
        <v>28852672.68</v>
      </c>
      <c r="F561" s="2">
        <v>28852672.68</v>
      </c>
      <c r="G561">
        <v>0</v>
      </c>
    </row>
    <row r="562" spans="1:7" x14ac:dyDescent="0.25">
      <c r="A562" s="1">
        <v>44958</v>
      </c>
      <c r="B562" t="s">
        <v>31</v>
      </c>
      <c r="C562" t="s">
        <v>29</v>
      </c>
      <c r="D562" s="2">
        <v>8796590983.7600002</v>
      </c>
      <c r="E562" s="2">
        <v>39304580290.639999</v>
      </c>
      <c r="F562" s="2">
        <v>39281206579.720001</v>
      </c>
      <c r="G562" s="2">
        <v>3458313022.48</v>
      </c>
    </row>
    <row r="563" spans="1:7" x14ac:dyDescent="0.25">
      <c r="A563" s="1">
        <v>44958</v>
      </c>
      <c r="B563" t="s">
        <v>69</v>
      </c>
      <c r="C563" t="s">
        <v>59</v>
      </c>
      <c r="D563" s="2">
        <v>7642372.5800000001</v>
      </c>
      <c r="E563" s="2">
        <v>4502616.41</v>
      </c>
      <c r="F563" s="2">
        <v>1489034.77</v>
      </c>
      <c r="G563" s="2">
        <v>6974215.46</v>
      </c>
    </row>
    <row r="564" spans="1:7" x14ac:dyDescent="0.25">
      <c r="A564" s="1">
        <v>44958</v>
      </c>
      <c r="B564" t="s">
        <v>54</v>
      </c>
      <c r="C564" t="s">
        <v>116</v>
      </c>
      <c r="D564" s="2">
        <v>371057071.02999997</v>
      </c>
      <c r="E564" s="2">
        <v>44791246.289999999</v>
      </c>
      <c r="F564" s="2">
        <v>43612737.939999998</v>
      </c>
      <c r="G564" s="2">
        <v>113983288.36</v>
      </c>
    </row>
    <row r="565" spans="1:7" x14ac:dyDescent="0.25">
      <c r="A565" s="1">
        <v>44958</v>
      </c>
      <c r="B565" t="s">
        <v>23</v>
      </c>
      <c r="C565" t="s">
        <v>72</v>
      </c>
      <c r="D565" s="2">
        <v>11717740.1</v>
      </c>
      <c r="E565" s="2">
        <v>54047185.829999998</v>
      </c>
      <c r="F565" s="2">
        <v>51613738.039999999</v>
      </c>
      <c r="G565">
        <v>0</v>
      </c>
    </row>
    <row r="566" spans="1:7" x14ac:dyDescent="0.25">
      <c r="A566" s="1">
        <v>44958</v>
      </c>
      <c r="B566" t="s">
        <v>69</v>
      </c>
      <c r="C566" t="s">
        <v>57</v>
      </c>
      <c r="D566" s="2">
        <v>22556921.579999998</v>
      </c>
      <c r="E566" s="2">
        <v>82230742.409999996</v>
      </c>
      <c r="F566" s="2">
        <v>80765857.439999998</v>
      </c>
      <c r="G566" s="2">
        <v>12271205.630000001</v>
      </c>
    </row>
    <row r="567" spans="1:7" x14ac:dyDescent="0.25">
      <c r="A567" s="1">
        <v>44958</v>
      </c>
      <c r="B567" t="s">
        <v>26</v>
      </c>
      <c r="C567" t="s">
        <v>57</v>
      </c>
      <c r="D567" s="2">
        <v>225442336.47</v>
      </c>
      <c r="E567" s="2">
        <v>148749375.55000001</v>
      </c>
      <c r="F567" s="2">
        <v>98282490.230000004</v>
      </c>
      <c r="G567" s="2">
        <v>9922597.5199999996</v>
      </c>
    </row>
    <row r="568" spans="1:7" x14ac:dyDescent="0.25">
      <c r="A568" s="1">
        <v>44958</v>
      </c>
      <c r="B568" t="s">
        <v>28</v>
      </c>
      <c r="C568" t="s">
        <v>125</v>
      </c>
      <c r="D568" s="2">
        <v>2576500470.4499998</v>
      </c>
      <c r="E568" s="2">
        <v>7693870652</v>
      </c>
      <c r="F568" s="2">
        <v>7557931696.1499996</v>
      </c>
      <c r="G568" s="2">
        <v>65003.68</v>
      </c>
    </row>
    <row r="569" spans="1:7" x14ac:dyDescent="0.25">
      <c r="A569" s="1">
        <v>44958</v>
      </c>
      <c r="B569" t="s">
        <v>13</v>
      </c>
      <c r="C569" t="s">
        <v>34</v>
      </c>
      <c r="D569" s="2">
        <v>57898403.340000004</v>
      </c>
      <c r="E569" s="2">
        <v>33351133.43</v>
      </c>
      <c r="F569" s="2">
        <v>33295465.010000002</v>
      </c>
      <c r="G569" s="2">
        <v>60561368.049999997</v>
      </c>
    </row>
    <row r="570" spans="1:7" x14ac:dyDescent="0.25">
      <c r="A570" s="1">
        <v>44958</v>
      </c>
      <c r="B570" t="s">
        <v>33</v>
      </c>
      <c r="C570" t="s">
        <v>66</v>
      </c>
      <c r="D570" s="2">
        <v>7996182.2999999998</v>
      </c>
      <c r="E570" s="2">
        <v>1780114.41</v>
      </c>
      <c r="F570" s="2">
        <v>1440086.74</v>
      </c>
      <c r="G570" s="2">
        <v>2046020.07</v>
      </c>
    </row>
    <row r="571" spans="1:7" x14ac:dyDescent="0.25">
      <c r="A571" s="1">
        <v>44958</v>
      </c>
      <c r="B571" t="s">
        <v>17</v>
      </c>
      <c r="C571" t="s">
        <v>113</v>
      </c>
      <c r="D571" s="2">
        <v>41692464.759999998</v>
      </c>
      <c r="E571" s="2">
        <v>484805785.74000001</v>
      </c>
      <c r="F571" s="2">
        <v>369171689.57999998</v>
      </c>
      <c r="G571" s="2">
        <v>86691430.299999997</v>
      </c>
    </row>
    <row r="572" spans="1:7" x14ac:dyDescent="0.25">
      <c r="A572" s="1">
        <v>44958</v>
      </c>
      <c r="B572" t="s">
        <v>33</v>
      </c>
      <c r="C572" t="s">
        <v>78</v>
      </c>
      <c r="D572">
        <v>0</v>
      </c>
      <c r="E572">
        <v>0</v>
      </c>
      <c r="F572">
        <v>0</v>
      </c>
      <c r="G572" s="2">
        <v>10848196.32</v>
      </c>
    </row>
    <row r="573" spans="1:7" x14ac:dyDescent="0.25">
      <c r="A573" s="1">
        <v>44958</v>
      </c>
      <c r="B573" t="s">
        <v>54</v>
      </c>
      <c r="C573" t="s">
        <v>71</v>
      </c>
      <c r="D573" s="2">
        <v>1793325.72</v>
      </c>
      <c r="E573" s="2">
        <v>200250.95</v>
      </c>
      <c r="F573" s="2">
        <v>161430.70000000001</v>
      </c>
      <c r="G573" s="2">
        <v>1017994.66</v>
      </c>
    </row>
    <row r="574" spans="1:7" x14ac:dyDescent="0.25">
      <c r="A574" s="1">
        <v>44958</v>
      </c>
      <c r="B574" t="s">
        <v>91</v>
      </c>
      <c r="C574" t="s">
        <v>114</v>
      </c>
      <c r="D574" s="2">
        <v>2412333065.1300001</v>
      </c>
      <c r="E574" s="2">
        <v>14221667.300000001</v>
      </c>
      <c r="F574" s="2">
        <v>13767476.43</v>
      </c>
      <c r="G574" s="2">
        <v>460972625.73000002</v>
      </c>
    </row>
    <row r="575" spans="1:7" x14ac:dyDescent="0.25">
      <c r="A575" s="1">
        <v>44958</v>
      </c>
      <c r="B575" t="s">
        <v>69</v>
      </c>
      <c r="C575" t="s">
        <v>20</v>
      </c>
      <c r="D575" s="2">
        <v>2416187.34</v>
      </c>
      <c r="E575" s="2">
        <v>1570081.61</v>
      </c>
      <c r="F575" s="2">
        <v>1894307.5</v>
      </c>
      <c r="G575" s="2">
        <v>3982797.46</v>
      </c>
    </row>
    <row r="576" spans="1:7" x14ac:dyDescent="0.25">
      <c r="A576" s="1">
        <v>44958</v>
      </c>
      <c r="B576" t="s">
        <v>62</v>
      </c>
      <c r="C576" t="s">
        <v>57</v>
      </c>
      <c r="D576" s="2">
        <v>238943198.83000001</v>
      </c>
      <c r="E576" s="2">
        <v>33192707.16</v>
      </c>
      <c r="F576" s="2">
        <v>24210071.620000001</v>
      </c>
      <c r="G576" s="2">
        <v>9150951.5999999996</v>
      </c>
    </row>
    <row r="577" spans="1:7" x14ac:dyDescent="0.25">
      <c r="A577" s="1">
        <v>44958</v>
      </c>
      <c r="B577" t="s">
        <v>43</v>
      </c>
      <c r="C577" t="s">
        <v>57</v>
      </c>
      <c r="D577" s="2">
        <v>239917458.30000001</v>
      </c>
      <c r="E577" s="2">
        <v>86866631.409999996</v>
      </c>
      <c r="F577" s="2">
        <v>73013410.780000001</v>
      </c>
      <c r="G577" s="2">
        <v>22407840.359999999</v>
      </c>
    </row>
    <row r="578" spans="1:7" x14ac:dyDescent="0.25">
      <c r="A578" s="1">
        <v>44958</v>
      </c>
      <c r="B578" t="s">
        <v>23</v>
      </c>
      <c r="C578" t="s">
        <v>34</v>
      </c>
      <c r="D578" s="2">
        <v>59235153.140000001</v>
      </c>
      <c r="E578" s="2">
        <v>9518846.8699999992</v>
      </c>
      <c r="F578" s="2">
        <v>5110908.62</v>
      </c>
      <c r="G578" s="2">
        <v>37347725.289999999</v>
      </c>
    </row>
    <row r="579" spans="1:7" x14ac:dyDescent="0.25">
      <c r="A579" s="1">
        <v>44958</v>
      </c>
      <c r="B579" t="s">
        <v>7</v>
      </c>
      <c r="C579" t="s">
        <v>12</v>
      </c>
      <c r="D579" s="2">
        <v>2462929.9199999999</v>
      </c>
      <c r="E579" s="2">
        <v>519731.59</v>
      </c>
      <c r="F579" s="2">
        <v>371791.27</v>
      </c>
      <c r="G579" s="2">
        <v>2097077.66</v>
      </c>
    </row>
    <row r="580" spans="1:7" x14ac:dyDescent="0.25">
      <c r="A580" s="1">
        <v>44958</v>
      </c>
      <c r="B580" t="s">
        <v>9</v>
      </c>
      <c r="C580" t="s">
        <v>112</v>
      </c>
      <c r="D580" s="2">
        <v>82490502.359999999</v>
      </c>
      <c r="E580" s="2">
        <v>35003425.270000003</v>
      </c>
      <c r="F580" s="2">
        <v>35220512.130000003</v>
      </c>
      <c r="G580" s="2">
        <v>30385310.109999999</v>
      </c>
    </row>
    <row r="581" spans="1:7" x14ac:dyDescent="0.25">
      <c r="A581" s="1">
        <v>44958</v>
      </c>
      <c r="B581" t="s">
        <v>23</v>
      </c>
      <c r="C581" t="s">
        <v>78</v>
      </c>
      <c r="D581" s="2">
        <v>2170372379.6999998</v>
      </c>
      <c r="E581" s="2">
        <v>2375465366.0599999</v>
      </c>
      <c r="F581" s="2">
        <v>2379786011.0100002</v>
      </c>
      <c r="G581" s="2">
        <v>7854834.1699999999</v>
      </c>
    </row>
    <row r="582" spans="1:7" x14ac:dyDescent="0.25">
      <c r="A582" s="1">
        <v>44958</v>
      </c>
      <c r="B582" t="s">
        <v>36</v>
      </c>
      <c r="C582" t="s">
        <v>58</v>
      </c>
      <c r="D582" s="2">
        <v>1001069.45</v>
      </c>
      <c r="E582" s="2">
        <v>64674.31</v>
      </c>
      <c r="F582" s="2">
        <v>64674.31</v>
      </c>
      <c r="G582" s="2">
        <v>14270629.810000001</v>
      </c>
    </row>
    <row r="583" spans="1:7" x14ac:dyDescent="0.25">
      <c r="A583" s="1">
        <v>44958</v>
      </c>
      <c r="B583" t="s">
        <v>54</v>
      </c>
      <c r="C583" t="s">
        <v>120</v>
      </c>
      <c r="D583" s="2">
        <v>120058574.68000001</v>
      </c>
      <c r="E583" s="2">
        <v>22756478.699999999</v>
      </c>
      <c r="F583" s="2">
        <v>29948339.550000001</v>
      </c>
      <c r="G583" s="2">
        <v>78652257.879999995</v>
      </c>
    </row>
    <row r="584" spans="1:7" x14ac:dyDescent="0.25">
      <c r="A584" s="1">
        <v>44958</v>
      </c>
      <c r="B584" t="s">
        <v>54</v>
      </c>
      <c r="C584" t="s">
        <v>75</v>
      </c>
      <c r="D584" s="2">
        <v>12306671.32</v>
      </c>
      <c r="E584" s="2">
        <v>1271074.3500000001</v>
      </c>
      <c r="F584" s="2">
        <v>506231.13</v>
      </c>
      <c r="G584" s="2">
        <v>12517194.85</v>
      </c>
    </row>
    <row r="585" spans="1:7" x14ac:dyDescent="0.25">
      <c r="A585" s="1">
        <v>44958</v>
      </c>
      <c r="B585" t="s">
        <v>47</v>
      </c>
      <c r="C585" t="s">
        <v>75</v>
      </c>
      <c r="D585" s="2">
        <v>1331344.73</v>
      </c>
      <c r="E585" s="2">
        <v>826224.06</v>
      </c>
      <c r="F585" s="2">
        <v>794854.1</v>
      </c>
      <c r="G585" s="2">
        <v>732390.74</v>
      </c>
    </row>
    <row r="586" spans="1:7" x14ac:dyDescent="0.25">
      <c r="A586" s="1">
        <v>44958</v>
      </c>
      <c r="B586" t="s">
        <v>52</v>
      </c>
      <c r="C586" t="s">
        <v>118</v>
      </c>
      <c r="D586" s="2">
        <v>7237911.7999999998</v>
      </c>
      <c r="E586" s="2">
        <v>8580339.1400000006</v>
      </c>
      <c r="F586" s="2">
        <v>4787681.3099999996</v>
      </c>
      <c r="G586" s="2">
        <v>22069312.329999998</v>
      </c>
    </row>
    <row r="587" spans="1:7" x14ac:dyDescent="0.25">
      <c r="A587" s="1">
        <v>44958</v>
      </c>
      <c r="B587" t="s">
        <v>31</v>
      </c>
      <c r="C587" t="s">
        <v>22</v>
      </c>
      <c r="D587" s="2">
        <v>583109756.75</v>
      </c>
      <c r="E587" s="2">
        <v>2109864523.77</v>
      </c>
      <c r="F587" s="2">
        <v>2160596731.5999999</v>
      </c>
      <c r="G587" s="2">
        <v>1244664401.53</v>
      </c>
    </row>
    <row r="588" spans="1:7" x14ac:dyDescent="0.25">
      <c r="A588" s="1">
        <v>44958</v>
      </c>
      <c r="B588" t="s">
        <v>17</v>
      </c>
      <c r="C588" t="s">
        <v>39</v>
      </c>
      <c r="D588" s="2">
        <v>1302023.18</v>
      </c>
      <c r="E588" s="2">
        <v>1172505.02</v>
      </c>
      <c r="F588" s="2">
        <v>1418961.15</v>
      </c>
      <c r="G588" s="2">
        <v>216318.25</v>
      </c>
    </row>
    <row r="589" spans="1:7" x14ac:dyDescent="0.25">
      <c r="A589" s="1">
        <v>44958</v>
      </c>
      <c r="B589" t="s">
        <v>54</v>
      </c>
      <c r="C589" t="s">
        <v>12</v>
      </c>
      <c r="D589" s="2">
        <v>-168546.24</v>
      </c>
      <c r="E589" s="2">
        <v>985351.25</v>
      </c>
      <c r="F589" s="2">
        <v>407146.56</v>
      </c>
      <c r="G589" s="2">
        <v>8322788.5199999996</v>
      </c>
    </row>
    <row r="590" spans="1:7" x14ac:dyDescent="0.25">
      <c r="A590" s="1">
        <v>44958</v>
      </c>
      <c r="B590" t="s">
        <v>9</v>
      </c>
      <c r="C590" t="s">
        <v>128</v>
      </c>
      <c r="D590" s="2">
        <v>245887974.66999999</v>
      </c>
      <c r="E590" s="2">
        <v>96731357.609999999</v>
      </c>
      <c r="F590" s="2">
        <v>55551778.920000002</v>
      </c>
      <c r="G590" s="2">
        <v>88182524.359999999</v>
      </c>
    </row>
    <row r="591" spans="1:7" x14ac:dyDescent="0.25">
      <c r="A591" s="1">
        <v>44958</v>
      </c>
      <c r="B591" t="s">
        <v>9</v>
      </c>
      <c r="C591" t="s">
        <v>57</v>
      </c>
      <c r="D591" s="2">
        <v>130258825.90000001</v>
      </c>
      <c r="E591" s="2">
        <v>570702217.82000005</v>
      </c>
      <c r="F591" s="2">
        <v>568829664.36000001</v>
      </c>
      <c r="G591" s="2">
        <v>37977501.43</v>
      </c>
    </row>
    <row r="592" spans="1:7" x14ac:dyDescent="0.25">
      <c r="A592" s="1">
        <v>44958</v>
      </c>
      <c r="B592" t="s">
        <v>11</v>
      </c>
      <c r="C592" t="s">
        <v>57</v>
      </c>
      <c r="D592" s="2">
        <v>144507906.09</v>
      </c>
      <c r="E592" s="2">
        <v>138093339.47</v>
      </c>
      <c r="F592" s="2">
        <v>137100119.06999999</v>
      </c>
      <c r="G592" s="2">
        <v>16896578.510000002</v>
      </c>
    </row>
    <row r="593" spans="1:7" x14ac:dyDescent="0.25">
      <c r="A593" s="1">
        <v>44958</v>
      </c>
      <c r="B593" t="s">
        <v>17</v>
      </c>
      <c r="C593" t="s">
        <v>103</v>
      </c>
      <c r="D593" s="2">
        <v>14436333.609999999</v>
      </c>
      <c r="E593" s="2">
        <v>7337575.0499999998</v>
      </c>
      <c r="F593" s="2">
        <v>7355381.5499999998</v>
      </c>
      <c r="G593" s="2">
        <v>18872016.870000001</v>
      </c>
    </row>
    <row r="594" spans="1:7" x14ac:dyDescent="0.25">
      <c r="A594" s="1">
        <v>44958</v>
      </c>
      <c r="B594" t="s">
        <v>54</v>
      </c>
      <c r="C594" t="s">
        <v>129</v>
      </c>
      <c r="D594" s="2">
        <v>79404294.060000002</v>
      </c>
      <c r="E594" s="2">
        <v>2565175.64</v>
      </c>
      <c r="F594" s="2">
        <v>2130323.4700000002</v>
      </c>
      <c r="G594" s="2">
        <v>162860353.69999999</v>
      </c>
    </row>
    <row r="595" spans="1:7" x14ac:dyDescent="0.25">
      <c r="A595" s="1">
        <v>44958</v>
      </c>
      <c r="B595" t="s">
        <v>11</v>
      </c>
      <c r="C595" t="s">
        <v>50</v>
      </c>
      <c r="D595" s="2">
        <v>79638766.060000002</v>
      </c>
      <c r="E595" s="2">
        <v>75863079.969999999</v>
      </c>
      <c r="F595" s="2">
        <v>75767401.370000005</v>
      </c>
      <c r="G595" s="2">
        <v>5552164.1200000001</v>
      </c>
    </row>
    <row r="596" spans="1:7" x14ac:dyDescent="0.25">
      <c r="A596" s="1">
        <v>44958</v>
      </c>
      <c r="B596" t="s">
        <v>11</v>
      </c>
      <c r="C596" t="s">
        <v>107</v>
      </c>
      <c r="D596" s="2">
        <v>3314378.38</v>
      </c>
      <c r="E596" s="2">
        <v>2778575.21</v>
      </c>
      <c r="F596" s="2">
        <v>2760205.73</v>
      </c>
      <c r="G596" s="2">
        <v>663078.68000000005</v>
      </c>
    </row>
    <row r="597" spans="1:7" x14ac:dyDescent="0.25">
      <c r="A597" s="1">
        <v>44958</v>
      </c>
      <c r="B597" t="s">
        <v>65</v>
      </c>
      <c r="C597" t="s">
        <v>57</v>
      </c>
      <c r="D597" s="2">
        <v>16402949.57</v>
      </c>
      <c r="E597" s="2">
        <v>165355304.00999999</v>
      </c>
      <c r="F597" s="2">
        <v>178218729.22999999</v>
      </c>
      <c r="G597" s="2">
        <v>3045590.76</v>
      </c>
    </row>
    <row r="598" spans="1:7" x14ac:dyDescent="0.25">
      <c r="A598" s="1">
        <v>44958</v>
      </c>
      <c r="B598" t="s">
        <v>69</v>
      </c>
      <c r="C598" t="s">
        <v>122</v>
      </c>
      <c r="D598" s="2">
        <v>7788116.6299999999</v>
      </c>
      <c r="E598" s="2">
        <v>3008483.22</v>
      </c>
      <c r="F598" s="2">
        <v>2547877.5499999998</v>
      </c>
      <c r="G598" s="2">
        <v>59093750.850000001</v>
      </c>
    </row>
    <row r="599" spans="1:7" x14ac:dyDescent="0.25">
      <c r="A599" s="1">
        <v>44958</v>
      </c>
      <c r="B599" t="s">
        <v>13</v>
      </c>
      <c r="C599" t="s">
        <v>57</v>
      </c>
      <c r="D599" s="2">
        <v>42641712.509999998</v>
      </c>
      <c r="E599" s="2">
        <v>104921446.31</v>
      </c>
      <c r="F599" s="2">
        <v>110783721.45</v>
      </c>
      <c r="G599" s="2">
        <v>16967726.129999999</v>
      </c>
    </row>
    <row r="600" spans="1:7" x14ac:dyDescent="0.25">
      <c r="A600" s="1">
        <v>44958</v>
      </c>
      <c r="B600" t="s">
        <v>23</v>
      </c>
      <c r="C600" t="s">
        <v>102</v>
      </c>
      <c r="D600" s="2">
        <v>4715107508.9700003</v>
      </c>
      <c r="E600" s="2">
        <v>4587393523.0699997</v>
      </c>
      <c r="F600" s="2">
        <v>4507748059.5200005</v>
      </c>
      <c r="G600" s="2">
        <v>308103410.61000001</v>
      </c>
    </row>
    <row r="601" spans="1:7" x14ac:dyDescent="0.25">
      <c r="A601" s="1">
        <v>44958</v>
      </c>
      <c r="B601" t="s">
        <v>33</v>
      </c>
      <c r="C601" t="s">
        <v>79</v>
      </c>
      <c r="D601" s="2">
        <v>130808506.23999999</v>
      </c>
      <c r="E601" s="2">
        <v>41389462.189999998</v>
      </c>
      <c r="F601" s="2">
        <v>42661314.259999998</v>
      </c>
      <c r="G601" s="2">
        <v>123665950.8</v>
      </c>
    </row>
    <row r="602" spans="1:7" x14ac:dyDescent="0.25">
      <c r="A602" s="1">
        <v>44958</v>
      </c>
      <c r="B602" t="s">
        <v>33</v>
      </c>
      <c r="C602" t="s">
        <v>90</v>
      </c>
      <c r="D602" s="2">
        <v>5874558.7699999996</v>
      </c>
      <c r="E602" s="2">
        <v>2537143.15</v>
      </c>
      <c r="F602" s="2">
        <v>2313000.0699999998</v>
      </c>
      <c r="G602" s="2">
        <v>4405023.6900000004</v>
      </c>
    </row>
    <row r="603" spans="1:7" x14ac:dyDescent="0.25">
      <c r="A603" s="1">
        <v>44958</v>
      </c>
      <c r="B603" t="s">
        <v>7</v>
      </c>
      <c r="C603" t="s">
        <v>102</v>
      </c>
      <c r="D603" s="2">
        <v>201296645.53</v>
      </c>
      <c r="E603" s="2">
        <v>836568859.08000004</v>
      </c>
      <c r="F603" s="2">
        <v>782476806.44000006</v>
      </c>
      <c r="G603" s="2">
        <v>70160231.859999999</v>
      </c>
    </row>
    <row r="604" spans="1:7" x14ac:dyDescent="0.25">
      <c r="A604" s="1">
        <v>44958</v>
      </c>
      <c r="B604" t="s">
        <v>65</v>
      </c>
      <c r="C604" t="s">
        <v>72</v>
      </c>
      <c r="D604" s="2">
        <v>7535583636.6400003</v>
      </c>
      <c r="E604" s="2">
        <v>7546980219.6800003</v>
      </c>
      <c r="F604" s="2">
        <v>7546898666.1700001</v>
      </c>
      <c r="G604" s="2">
        <v>85556738.590000004</v>
      </c>
    </row>
    <row r="605" spans="1:7" x14ac:dyDescent="0.25">
      <c r="A605" s="1">
        <v>44958</v>
      </c>
      <c r="B605" t="s">
        <v>54</v>
      </c>
      <c r="C605" t="s">
        <v>78</v>
      </c>
      <c r="D605">
        <v>0</v>
      </c>
      <c r="E605">
        <v>0</v>
      </c>
      <c r="F605">
        <v>0</v>
      </c>
      <c r="G605" s="2">
        <v>295248464.00999999</v>
      </c>
    </row>
    <row r="606" spans="1:7" x14ac:dyDescent="0.25">
      <c r="A606" s="1">
        <v>44958</v>
      </c>
      <c r="B606" t="s">
        <v>54</v>
      </c>
      <c r="C606" t="s">
        <v>72</v>
      </c>
      <c r="D606" s="2">
        <v>563078581.00999999</v>
      </c>
      <c r="E606" s="2">
        <v>354298665.23000002</v>
      </c>
      <c r="F606" s="2">
        <v>338778202.82999998</v>
      </c>
      <c r="G606" s="2">
        <v>36304799.890000001</v>
      </c>
    </row>
    <row r="607" spans="1:7" x14ac:dyDescent="0.25">
      <c r="A607" s="1">
        <v>44958</v>
      </c>
      <c r="B607" t="s">
        <v>7</v>
      </c>
      <c r="C607" t="s">
        <v>95</v>
      </c>
      <c r="D607" s="2">
        <v>101666022.3</v>
      </c>
      <c r="E607" s="2">
        <v>66522125.299999997</v>
      </c>
      <c r="F607" s="2">
        <v>51851661.359999999</v>
      </c>
      <c r="G607" s="2">
        <v>589790110.88</v>
      </c>
    </row>
    <row r="608" spans="1:7" x14ac:dyDescent="0.25">
      <c r="A608" s="1">
        <v>44958</v>
      </c>
      <c r="B608" t="s">
        <v>7</v>
      </c>
      <c r="C608" t="s">
        <v>100</v>
      </c>
      <c r="D608" s="2">
        <v>1095583630.0699999</v>
      </c>
      <c r="E608" s="2">
        <v>2591920839.29</v>
      </c>
      <c r="F608" s="2">
        <v>2334163442.3499999</v>
      </c>
      <c r="G608" s="2">
        <v>374238711.29000002</v>
      </c>
    </row>
    <row r="609" spans="1:7" x14ac:dyDescent="0.25">
      <c r="A609" s="1">
        <v>44958</v>
      </c>
      <c r="B609" t="s">
        <v>17</v>
      </c>
      <c r="C609" t="s">
        <v>57</v>
      </c>
      <c r="D609" s="2">
        <v>-35157059.479999997</v>
      </c>
      <c r="E609" s="2">
        <v>291580116.13</v>
      </c>
      <c r="F609" s="2">
        <v>355295019.81999999</v>
      </c>
      <c r="G609" s="2">
        <v>11356771</v>
      </c>
    </row>
    <row r="610" spans="1:7" x14ac:dyDescent="0.25">
      <c r="A610" s="1">
        <v>44958</v>
      </c>
      <c r="B610" t="s">
        <v>23</v>
      </c>
      <c r="C610" t="s">
        <v>57</v>
      </c>
      <c r="D610" s="2">
        <v>234583203.41</v>
      </c>
      <c r="E610" s="2">
        <v>570830012.04999995</v>
      </c>
      <c r="F610" s="2">
        <v>556543556.16999996</v>
      </c>
      <c r="G610" s="2">
        <v>19497677.170000002</v>
      </c>
    </row>
    <row r="611" spans="1:7" x14ac:dyDescent="0.25">
      <c r="A611" s="1">
        <v>44958</v>
      </c>
      <c r="B611" t="s">
        <v>7</v>
      </c>
      <c r="C611" t="s">
        <v>68</v>
      </c>
      <c r="D611" s="2">
        <v>466384713.20999998</v>
      </c>
      <c r="E611" s="2">
        <v>949967904.78999996</v>
      </c>
      <c r="F611" s="2">
        <v>882298194.74000001</v>
      </c>
      <c r="G611" s="2">
        <v>133124793.78</v>
      </c>
    </row>
    <row r="612" spans="1:7" x14ac:dyDescent="0.25">
      <c r="A612" s="1">
        <v>44958</v>
      </c>
      <c r="B612" t="s">
        <v>37</v>
      </c>
      <c r="C612" t="s">
        <v>57</v>
      </c>
      <c r="D612" s="2">
        <v>83523332.969999999</v>
      </c>
      <c r="E612" s="2">
        <v>22610923.109999999</v>
      </c>
      <c r="F612" s="2">
        <v>21798710.559999999</v>
      </c>
      <c r="G612" s="2">
        <v>9495339.0199999996</v>
      </c>
    </row>
    <row r="613" spans="1:7" x14ac:dyDescent="0.25">
      <c r="A613" s="1">
        <v>44958</v>
      </c>
      <c r="B613" t="s">
        <v>33</v>
      </c>
      <c r="C613" t="s">
        <v>57</v>
      </c>
      <c r="D613" s="2">
        <v>2131708756.47</v>
      </c>
      <c r="E613" s="2">
        <v>1461038593.6900001</v>
      </c>
      <c r="F613" s="2">
        <v>1419280001.0999999</v>
      </c>
      <c r="G613" s="2">
        <v>191660806.96000001</v>
      </c>
    </row>
    <row r="614" spans="1:7" x14ac:dyDescent="0.25">
      <c r="A614" s="1">
        <v>44958</v>
      </c>
      <c r="B614" t="s">
        <v>26</v>
      </c>
      <c r="C614" t="s">
        <v>72</v>
      </c>
      <c r="D614" s="2">
        <v>54736706.840000004</v>
      </c>
      <c r="E614" s="2">
        <v>20034219.84</v>
      </c>
      <c r="F614" s="2">
        <v>17465709.969999999</v>
      </c>
      <c r="G614">
        <v>0</v>
      </c>
    </row>
    <row r="615" spans="1:7" x14ac:dyDescent="0.25">
      <c r="A615" s="1">
        <v>44958</v>
      </c>
      <c r="B615" t="s">
        <v>54</v>
      </c>
      <c r="C615" t="s">
        <v>57</v>
      </c>
      <c r="D615" s="2">
        <v>1244094404</v>
      </c>
      <c r="E615" s="2">
        <v>5036702680.4200001</v>
      </c>
      <c r="F615" s="2">
        <v>5069940552.7200003</v>
      </c>
      <c r="G615" s="2">
        <v>97277495.319999993</v>
      </c>
    </row>
    <row r="616" spans="1:7" x14ac:dyDescent="0.25">
      <c r="A616" s="1">
        <v>44986</v>
      </c>
      <c r="B616" t="s">
        <v>27</v>
      </c>
      <c r="C616" t="s">
        <v>42</v>
      </c>
      <c r="D616">
        <v>0</v>
      </c>
      <c r="E616">
        <v>0</v>
      </c>
      <c r="F616">
        <v>0</v>
      </c>
      <c r="G616" s="2">
        <v>26200</v>
      </c>
    </row>
    <row r="617" spans="1:7" x14ac:dyDescent="0.25">
      <c r="A617" s="1">
        <v>44986</v>
      </c>
      <c r="B617" t="s">
        <v>62</v>
      </c>
      <c r="C617" t="s">
        <v>63</v>
      </c>
      <c r="D617">
        <v>0</v>
      </c>
      <c r="E617">
        <v>0</v>
      </c>
      <c r="F617">
        <v>0</v>
      </c>
      <c r="G617" s="2">
        <v>883957.56</v>
      </c>
    </row>
    <row r="618" spans="1:7" x14ac:dyDescent="0.25">
      <c r="A618" s="1">
        <v>44986</v>
      </c>
      <c r="B618" t="s">
        <v>9</v>
      </c>
      <c r="C618" t="s">
        <v>10</v>
      </c>
      <c r="D618" s="2">
        <v>1305791.44</v>
      </c>
      <c r="E618" s="2">
        <v>1110941.44</v>
      </c>
      <c r="F618" s="2">
        <v>1110941.44</v>
      </c>
      <c r="G618">
        <v>0</v>
      </c>
    </row>
    <row r="619" spans="1:7" x14ac:dyDescent="0.25">
      <c r="A619" s="1">
        <v>44986</v>
      </c>
      <c r="B619" t="s">
        <v>36</v>
      </c>
      <c r="C619" t="s">
        <v>113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 s="1">
        <v>44986</v>
      </c>
      <c r="B620" t="s">
        <v>27</v>
      </c>
      <c r="C620" t="s">
        <v>14</v>
      </c>
      <c r="D620">
        <v>0</v>
      </c>
      <c r="E620">
        <v>0</v>
      </c>
      <c r="F620">
        <v>0</v>
      </c>
      <c r="G620" s="2">
        <v>99510</v>
      </c>
    </row>
    <row r="621" spans="1:7" x14ac:dyDescent="0.25">
      <c r="A621" s="1">
        <v>44986</v>
      </c>
      <c r="B621" t="s">
        <v>69</v>
      </c>
      <c r="C621" t="s">
        <v>78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 s="1">
        <v>44986</v>
      </c>
      <c r="B622" t="s">
        <v>13</v>
      </c>
      <c r="C622" t="s">
        <v>79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 s="1">
        <v>44986</v>
      </c>
      <c r="B623" t="s">
        <v>69</v>
      </c>
      <c r="C623" t="s">
        <v>55</v>
      </c>
      <c r="D623">
        <v>0</v>
      </c>
      <c r="E623" s="2">
        <v>12497.58</v>
      </c>
      <c r="F623" s="2">
        <v>12497.58</v>
      </c>
      <c r="G623" s="2">
        <v>30000</v>
      </c>
    </row>
    <row r="624" spans="1:7" x14ac:dyDescent="0.25">
      <c r="A624" s="1">
        <v>44986</v>
      </c>
      <c r="B624" t="s">
        <v>21</v>
      </c>
      <c r="C624" t="s">
        <v>22</v>
      </c>
      <c r="D624" s="2">
        <v>-2000000</v>
      </c>
      <c r="E624" s="2">
        <v>-818115.71</v>
      </c>
      <c r="F624" s="2">
        <v>-818115.71</v>
      </c>
      <c r="G624">
        <v>0</v>
      </c>
    </row>
    <row r="625" spans="1:7" x14ac:dyDescent="0.25">
      <c r="A625" s="1">
        <v>44986</v>
      </c>
      <c r="B625" t="s">
        <v>15</v>
      </c>
      <c r="C625" t="s">
        <v>22</v>
      </c>
      <c r="D625">
        <v>0</v>
      </c>
      <c r="E625" s="2">
        <v>3935790.56</v>
      </c>
      <c r="F625" s="2">
        <v>4113303.08</v>
      </c>
      <c r="G625">
        <v>0</v>
      </c>
    </row>
    <row r="626" spans="1:7" x14ac:dyDescent="0.25">
      <c r="A626" s="1">
        <v>44986</v>
      </c>
      <c r="B626" t="s">
        <v>21</v>
      </c>
      <c r="C626" t="s">
        <v>39</v>
      </c>
      <c r="D626" s="2">
        <v>150000</v>
      </c>
      <c r="E626">
        <v>0</v>
      </c>
      <c r="F626">
        <v>0</v>
      </c>
      <c r="G626">
        <v>0</v>
      </c>
    </row>
    <row r="627" spans="1:7" x14ac:dyDescent="0.25">
      <c r="A627" s="1">
        <v>44986</v>
      </c>
      <c r="B627" t="s">
        <v>23</v>
      </c>
      <c r="C627" t="s">
        <v>58</v>
      </c>
      <c r="D627" s="2">
        <v>4139.12</v>
      </c>
      <c r="E627" s="2">
        <v>4139.12</v>
      </c>
      <c r="F627" s="2">
        <v>4139.12</v>
      </c>
      <c r="G627" s="2">
        <v>183554</v>
      </c>
    </row>
    <row r="628" spans="1:7" x14ac:dyDescent="0.25">
      <c r="A628" s="1">
        <v>44986</v>
      </c>
      <c r="B628" t="s">
        <v>27</v>
      </c>
      <c r="C628" t="s">
        <v>22</v>
      </c>
      <c r="D628">
        <v>0</v>
      </c>
      <c r="E628" s="2">
        <v>24844192.98</v>
      </c>
      <c r="F628" s="2">
        <v>24844192.98</v>
      </c>
      <c r="G628">
        <v>0</v>
      </c>
    </row>
    <row r="629" spans="1:7" x14ac:dyDescent="0.25">
      <c r="A629" s="1">
        <v>44986</v>
      </c>
      <c r="B629" t="s">
        <v>13</v>
      </c>
      <c r="C629" t="s">
        <v>14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 s="1">
        <v>44986</v>
      </c>
      <c r="B630" t="s">
        <v>28</v>
      </c>
      <c r="C630" t="s">
        <v>119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 s="1">
        <v>44986</v>
      </c>
      <c r="B631" t="s">
        <v>7</v>
      </c>
      <c r="C631" t="s">
        <v>16</v>
      </c>
      <c r="D631" s="2">
        <v>1195588.17</v>
      </c>
      <c r="E631" s="2">
        <v>720337.97</v>
      </c>
      <c r="F631" s="2">
        <v>712585.84</v>
      </c>
      <c r="G631" s="2">
        <v>2378948.2999999998</v>
      </c>
    </row>
    <row r="632" spans="1:7" x14ac:dyDescent="0.25">
      <c r="A632" s="1">
        <v>44986</v>
      </c>
      <c r="B632" t="s">
        <v>91</v>
      </c>
      <c r="C632" t="s">
        <v>132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 s="1">
        <v>44986</v>
      </c>
      <c r="B633" t="s">
        <v>11</v>
      </c>
      <c r="C633" t="s">
        <v>78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 s="1">
        <v>44986</v>
      </c>
      <c r="B634" t="s">
        <v>47</v>
      </c>
      <c r="C634" t="s">
        <v>78</v>
      </c>
      <c r="D634">
        <v>0</v>
      </c>
      <c r="E634">
        <v>0</v>
      </c>
      <c r="F634">
        <v>0</v>
      </c>
      <c r="G634" s="2">
        <v>9377.4</v>
      </c>
    </row>
    <row r="635" spans="1:7" x14ac:dyDescent="0.25">
      <c r="A635" s="1">
        <v>44986</v>
      </c>
      <c r="B635" t="s">
        <v>33</v>
      </c>
      <c r="C635" t="s">
        <v>34</v>
      </c>
      <c r="D635" s="2">
        <v>-8210000</v>
      </c>
      <c r="E635" s="2">
        <v>1636518.66</v>
      </c>
      <c r="F635" s="2">
        <v>1636518.66</v>
      </c>
      <c r="G635" s="2">
        <v>42748.68</v>
      </c>
    </row>
    <row r="636" spans="1:7" x14ac:dyDescent="0.25">
      <c r="A636" s="1">
        <v>44986</v>
      </c>
      <c r="B636" t="s">
        <v>37</v>
      </c>
      <c r="C636" t="s">
        <v>70</v>
      </c>
      <c r="D636">
        <v>0</v>
      </c>
      <c r="E636">
        <v>0</v>
      </c>
      <c r="F636">
        <v>0</v>
      </c>
      <c r="G636" s="2">
        <v>58150</v>
      </c>
    </row>
    <row r="637" spans="1:7" x14ac:dyDescent="0.25">
      <c r="A637" s="1">
        <v>44986</v>
      </c>
      <c r="B637" t="s">
        <v>36</v>
      </c>
      <c r="C637" t="s">
        <v>14</v>
      </c>
      <c r="D637" s="2">
        <v>3263209.76</v>
      </c>
      <c r="E637">
        <v>0</v>
      </c>
      <c r="F637">
        <v>0</v>
      </c>
      <c r="G637" s="2">
        <v>6890981.6699999999</v>
      </c>
    </row>
    <row r="638" spans="1:7" x14ac:dyDescent="0.25">
      <c r="A638" s="1">
        <v>44986</v>
      </c>
      <c r="B638" t="s">
        <v>15</v>
      </c>
      <c r="C638" t="s">
        <v>30</v>
      </c>
      <c r="D638" s="2">
        <v>-174754.89</v>
      </c>
      <c r="E638" s="2">
        <v>34400</v>
      </c>
      <c r="F638" s="2">
        <v>524488.99</v>
      </c>
      <c r="G638">
        <v>0</v>
      </c>
    </row>
    <row r="639" spans="1:7" x14ac:dyDescent="0.25">
      <c r="A639" s="1">
        <v>44986</v>
      </c>
      <c r="B639" t="s">
        <v>17</v>
      </c>
      <c r="C639" t="s">
        <v>22</v>
      </c>
      <c r="D639" s="2">
        <v>147898926</v>
      </c>
      <c r="E639" s="2">
        <v>14590735.26</v>
      </c>
      <c r="F639" s="2">
        <v>14590735.26</v>
      </c>
      <c r="G639">
        <v>0</v>
      </c>
    </row>
    <row r="640" spans="1:7" x14ac:dyDescent="0.25">
      <c r="A640" s="1">
        <v>44986</v>
      </c>
      <c r="B640" t="s">
        <v>23</v>
      </c>
      <c r="C640" t="s">
        <v>16</v>
      </c>
      <c r="D640" s="2">
        <v>-1113676.8600000001</v>
      </c>
      <c r="E640" s="2">
        <v>495309.95</v>
      </c>
      <c r="F640">
        <v>0</v>
      </c>
      <c r="G640" s="2">
        <v>34541689.119999997</v>
      </c>
    </row>
    <row r="641" spans="1:7" x14ac:dyDescent="0.25">
      <c r="A641" s="1">
        <v>44986</v>
      </c>
      <c r="B641" t="s">
        <v>23</v>
      </c>
      <c r="C641" t="s">
        <v>24</v>
      </c>
      <c r="D641" s="2">
        <v>685461.53</v>
      </c>
      <c r="E641" s="2">
        <v>685461.53</v>
      </c>
      <c r="F641" s="2">
        <v>685716.56</v>
      </c>
      <c r="G641" s="2">
        <v>359017</v>
      </c>
    </row>
    <row r="642" spans="1:7" x14ac:dyDescent="0.25">
      <c r="A642" s="1">
        <v>44986</v>
      </c>
      <c r="B642" t="s">
        <v>62</v>
      </c>
      <c r="C642" t="s">
        <v>39</v>
      </c>
      <c r="D642">
        <v>0</v>
      </c>
      <c r="E642">
        <v>0</v>
      </c>
      <c r="F642">
        <v>0</v>
      </c>
      <c r="G642" s="2">
        <v>52700000</v>
      </c>
    </row>
    <row r="643" spans="1:7" x14ac:dyDescent="0.25">
      <c r="A643" s="1">
        <v>44986</v>
      </c>
      <c r="B643" t="s">
        <v>65</v>
      </c>
      <c r="C643" t="s">
        <v>12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 s="1">
        <v>44986</v>
      </c>
      <c r="B644" t="s">
        <v>27</v>
      </c>
      <c r="C644" t="s">
        <v>56</v>
      </c>
      <c r="D644">
        <v>0</v>
      </c>
      <c r="E644" s="2">
        <v>16167.29</v>
      </c>
      <c r="F644" s="2">
        <v>16167.29</v>
      </c>
      <c r="G644" s="2">
        <v>29684.32</v>
      </c>
    </row>
    <row r="645" spans="1:7" x14ac:dyDescent="0.25">
      <c r="A645" s="1">
        <v>44986</v>
      </c>
      <c r="B645" t="s">
        <v>23</v>
      </c>
      <c r="C645" t="s">
        <v>22</v>
      </c>
      <c r="D645">
        <v>0</v>
      </c>
      <c r="E645" s="2">
        <v>74905228.200000003</v>
      </c>
      <c r="F645" s="2">
        <v>74904396.359999999</v>
      </c>
      <c r="G645" s="2">
        <v>23321.5</v>
      </c>
    </row>
    <row r="646" spans="1:7" x14ac:dyDescent="0.25">
      <c r="A646" s="1">
        <v>44986</v>
      </c>
      <c r="B646" t="s">
        <v>11</v>
      </c>
      <c r="C646" t="s">
        <v>22</v>
      </c>
      <c r="D646" s="2">
        <v>8686080</v>
      </c>
      <c r="E646" s="2">
        <v>10915687.5</v>
      </c>
      <c r="F646" s="2">
        <v>10915687.5</v>
      </c>
      <c r="G646">
        <v>0</v>
      </c>
    </row>
    <row r="647" spans="1:7" x14ac:dyDescent="0.25">
      <c r="A647" s="1">
        <v>44986</v>
      </c>
      <c r="B647" t="s">
        <v>91</v>
      </c>
      <c r="C647" t="s">
        <v>12</v>
      </c>
      <c r="D647" s="2">
        <v>1000000</v>
      </c>
      <c r="E647">
        <v>0</v>
      </c>
      <c r="F647">
        <v>0</v>
      </c>
      <c r="G647">
        <v>0</v>
      </c>
    </row>
    <row r="648" spans="1:7" x14ac:dyDescent="0.25">
      <c r="A648" s="1">
        <v>44986</v>
      </c>
      <c r="B648" t="s">
        <v>37</v>
      </c>
      <c r="C648" t="s">
        <v>106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 s="1">
        <v>44986</v>
      </c>
      <c r="B649" t="s">
        <v>15</v>
      </c>
      <c r="C649" t="s">
        <v>51</v>
      </c>
      <c r="D649" s="2">
        <v>-150000</v>
      </c>
      <c r="E649" s="2">
        <v>596132.80000000005</v>
      </c>
      <c r="F649" s="2">
        <v>592299.19999999995</v>
      </c>
      <c r="G649">
        <v>0</v>
      </c>
    </row>
    <row r="650" spans="1:7" x14ac:dyDescent="0.25">
      <c r="A650" s="1">
        <v>44986</v>
      </c>
      <c r="B650" t="s">
        <v>37</v>
      </c>
      <c r="C650" t="s">
        <v>78</v>
      </c>
      <c r="D650">
        <v>0</v>
      </c>
      <c r="E650">
        <v>0</v>
      </c>
      <c r="F650">
        <v>0</v>
      </c>
      <c r="G650" s="2">
        <v>3348.94</v>
      </c>
    </row>
    <row r="651" spans="1:7" x14ac:dyDescent="0.25">
      <c r="A651" s="1">
        <v>44986</v>
      </c>
      <c r="B651" t="s">
        <v>13</v>
      </c>
      <c r="C651" t="s">
        <v>20</v>
      </c>
      <c r="D651" s="2">
        <v>77790.11</v>
      </c>
      <c r="E651" s="2">
        <v>5645.71</v>
      </c>
      <c r="F651" s="2">
        <v>4419.6000000000004</v>
      </c>
      <c r="G651" s="2">
        <v>520515.74</v>
      </c>
    </row>
    <row r="652" spans="1:7" x14ac:dyDescent="0.25">
      <c r="A652" s="1">
        <v>44986</v>
      </c>
      <c r="B652" t="s">
        <v>31</v>
      </c>
      <c r="C652" t="s">
        <v>53</v>
      </c>
      <c r="D652" s="2">
        <v>1196636024.8900001</v>
      </c>
      <c r="E652" s="2">
        <v>1196636024.8900001</v>
      </c>
      <c r="F652" s="2">
        <v>1196636024.8900001</v>
      </c>
      <c r="G652">
        <v>0</v>
      </c>
    </row>
    <row r="653" spans="1:7" x14ac:dyDescent="0.25">
      <c r="A653" s="1">
        <v>44986</v>
      </c>
      <c r="B653" t="s">
        <v>17</v>
      </c>
      <c r="C653" t="s">
        <v>59</v>
      </c>
      <c r="D653">
        <v>710.9</v>
      </c>
      <c r="E653">
        <v>409.71</v>
      </c>
      <c r="F653">
        <v>409.71</v>
      </c>
      <c r="G653" s="2">
        <v>1803000</v>
      </c>
    </row>
    <row r="654" spans="1:7" x14ac:dyDescent="0.25">
      <c r="A654" s="1">
        <v>44986</v>
      </c>
      <c r="B654" t="s">
        <v>54</v>
      </c>
      <c r="C654" t="s">
        <v>55</v>
      </c>
      <c r="D654" s="2">
        <v>11655.75</v>
      </c>
      <c r="E654">
        <v>0</v>
      </c>
      <c r="F654">
        <v>0</v>
      </c>
      <c r="G654" s="2">
        <v>8054</v>
      </c>
    </row>
    <row r="655" spans="1:7" x14ac:dyDescent="0.25">
      <c r="A655" s="1">
        <v>44986</v>
      </c>
      <c r="B655" t="s">
        <v>33</v>
      </c>
      <c r="C655" t="s">
        <v>16</v>
      </c>
      <c r="D655" s="2">
        <v>28000000</v>
      </c>
      <c r="E655">
        <v>0</v>
      </c>
      <c r="F655">
        <v>0</v>
      </c>
      <c r="G655" s="2">
        <v>3558474.52</v>
      </c>
    </row>
    <row r="656" spans="1:7" x14ac:dyDescent="0.25">
      <c r="A656" s="1">
        <v>44986</v>
      </c>
      <c r="B656" t="s">
        <v>54</v>
      </c>
      <c r="C656" t="s">
        <v>8</v>
      </c>
      <c r="D656" s="2">
        <v>32221</v>
      </c>
      <c r="E656" s="2">
        <v>7614.59</v>
      </c>
      <c r="F656" s="2">
        <v>7614.59</v>
      </c>
      <c r="G656" s="2">
        <v>56920.25</v>
      </c>
    </row>
    <row r="657" spans="1:7" x14ac:dyDescent="0.25">
      <c r="A657" s="1">
        <v>44986</v>
      </c>
      <c r="B657" t="s">
        <v>28</v>
      </c>
      <c r="C657" t="s">
        <v>78</v>
      </c>
      <c r="D657">
        <v>0</v>
      </c>
      <c r="E657">
        <v>0</v>
      </c>
      <c r="F657">
        <v>0</v>
      </c>
      <c r="G657" s="2">
        <v>117957.23</v>
      </c>
    </row>
    <row r="658" spans="1:7" x14ac:dyDescent="0.25">
      <c r="A658" s="1">
        <v>44986</v>
      </c>
      <c r="B658" t="s">
        <v>33</v>
      </c>
      <c r="C658" t="s">
        <v>50</v>
      </c>
      <c r="D658" s="2">
        <v>168619.92</v>
      </c>
      <c r="E658" s="2">
        <v>151663.45000000001</v>
      </c>
      <c r="F658" s="2">
        <v>151663.45000000001</v>
      </c>
      <c r="G658">
        <v>0</v>
      </c>
    </row>
    <row r="659" spans="1:7" x14ac:dyDescent="0.25">
      <c r="A659" s="1">
        <v>44986</v>
      </c>
      <c r="B659" t="s">
        <v>65</v>
      </c>
      <c r="C659" t="s">
        <v>78</v>
      </c>
      <c r="D659">
        <v>0</v>
      </c>
      <c r="E659">
        <v>0</v>
      </c>
      <c r="F659">
        <v>0</v>
      </c>
      <c r="G659" s="2">
        <v>195686.73</v>
      </c>
    </row>
    <row r="660" spans="1:7" x14ac:dyDescent="0.25">
      <c r="A660" s="1">
        <v>44986</v>
      </c>
      <c r="B660" t="s">
        <v>9</v>
      </c>
      <c r="C660" t="s">
        <v>22</v>
      </c>
      <c r="D660" s="2">
        <v>25571396.5</v>
      </c>
      <c r="E660" s="2">
        <v>105457372.98</v>
      </c>
      <c r="F660" s="2">
        <v>105467693.02</v>
      </c>
      <c r="G660" s="2">
        <v>11924.12</v>
      </c>
    </row>
    <row r="661" spans="1:7" x14ac:dyDescent="0.25">
      <c r="A661" s="1">
        <v>44986</v>
      </c>
      <c r="B661" t="s">
        <v>43</v>
      </c>
      <c r="C661" t="s">
        <v>61</v>
      </c>
      <c r="D661" s="2">
        <v>2562362.2599999998</v>
      </c>
      <c r="E661" s="2">
        <v>696663.58</v>
      </c>
      <c r="F661" s="2">
        <v>666844.46</v>
      </c>
      <c r="G661" s="2">
        <v>772118.18</v>
      </c>
    </row>
    <row r="662" spans="1:7" x14ac:dyDescent="0.25">
      <c r="A662" s="1">
        <v>44986</v>
      </c>
      <c r="B662" t="s">
        <v>83</v>
      </c>
      <c r="C662" t="s">
        <v>131</v>
      </c>
      <c r="D662" s="2">
        <v>138135.57</v>
      </c>
      <c r="E662" s="2">
        <v>138135.57</v>
      </c>
      <c r="F662" s="2">
        <v>138135.57</v>
      </c>
      <c r="G662" s="2">
        <v>2831.92</v>
      </c>
    </row>
    <row r="663" spans="1:7" x14ac:dyDescent="0.25">
      <c r="A663" s="1">
        <v>44986</v>
      </c>
      <c r="B663" t="s">
        <v>28</v>
      </c>
      <c r="C663" t="s">
        <v>25</v>
      </c>
      <c r="D663">
        <v>0</v>
      </c>
      <c r="E663">
        <v>0</v>
      </c>
      <c r="F663">
        <v>0</v>
      </c>
      <c r="G663" s="2">
        <v>77276.5</v>
      </c>
    </row>
    <row r="664" spans="1:7" x14ac:dyDescent="0.25">
      <c r="A664" s="1">
        <v>44986</v>
      </c>
      <c r="B664" t="s">
        <v>65</v>
      </c>
      <c r="C664" t="s">
        <v>34</v>
      </c>
      <c r="D664" s="2">
        <v>20236.63</v>
      </c>
      <c r="E664" s="2">
        <v>85236.5</v>
      </c>
      <c r="F664" s="2">
        <v>86568.73</v>
      </c>
      <c r="G664" s="2">
        <v>72362.44</v>
      </c>
    </row>
    <row r="665" spans="1:7" x14ac:dyDescent="0.25">
      <c r="A665" s="1">
        <v>44986</v>
      </c>
      <c r="B665" t="s">
        <v>69</v>
      </c>
      <c r="C665" t="s">
        <v>22</v>
      </c>
      <c r="D665" s="2">
        <v>17652277.57</v>
      </c>
      <c r="E665" s="2">
        <v>13346583.039999999</v>
      </c>
      <c r="F665" s="2">
        <v>13395327.57</v>
      </c>
      <c r="G665">
        <v>0</v>
      </c>
    </row>
    <row r="666" spans="1:7" x14ac:dyDescent="0.25">
      <c r="A666" s="1">
        <v>44986</v>
      </c>
      <c r="B666" t="s">
        <v>52</v>
      </c>
      <c r="C666" t="s">
        <v>66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 s="1">
        <v>44986</v>
      </c>
      <c r="B667" t="s">
        <v>9</v>
      </c>
      <c r="C667" t="s">
        <v>12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 s="1">
        <v>44986</v>
      </c>
      <c r="B668" t="s">
        <v>43</v>
      </c>
      <c r="C668" t="s">
        <v>89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 s="1">
        <v>44986</v>
      </c>
      <c r="B669" t="s">
        <v>15</v>
      </c>
      <c r="C669" t="s">
        <v>78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 s="1">
        <v>44986</v>
      </c>
      <c r="B670" t="s">
        <v>62</v>
      </c>
      <c r="C670" t="s">
        <v>34</v>
      </c>
      <c r="D670" s="2">
        <v>24500587</v>
      </c>
      <c r="E670">
        <v>0</v>
      </c>
      <c r="F670">
        <v>0</v>
      </c>
      <c r="G670">
        <v>0</v>
      </c>
    </row>
    <row r="671" spans="1:7" x14ac:dyDescent="0.25">
      <c r="A671" s="1">
        <v>44986</v>
      </c>
      <c r="B671" t="s">
        <v>33</v>
      </c>
      <c r="C671" t="s">
        <v>67</v>
      </c>
      <c r="D671" s="2">
        <v>2045755.2</v>
      </c>
      <c r="E671" s="2">
        <v>4247814.76</v>
      </c>
      <c r="F671" s="2">
        <v>4049067.19</v>
      </c>
      <c r="G671" s="2">
        <v>288012.79999999999</v>
      </c>
    </row>
    <row r="672" spans="1:7" x14ac:dyDescent="0.25">
      <c r="A672" s="1">
        <v>44986</v>
      </c>
      <c r="B672" t="s">
        <v>47</v>
      </c>
      <c r="C672" t="s">
        <v>22</v>
      </c>
      <c r="D672" s="2">
        <v>1656.76</v>
      </c>
      <c r="E672" s="2">
        <v>3901005.8</v>
      </c>
      <c r="F672" s="2">
        <v>7705434.9000000004</v>
      </c>
      <c r="G672">
        <v>0</v>
      </c>
    </row>
    <row r="673" spans="1:7" x14ac:dyDescent="0.25">
      <c r="A673" s="1">
        <v>44986</v>
      </c>
      <c r="B673" t="s">
        <v>91</v>
      </c>
      <c r="C673" t="s">
        <v>16</v>
      </c>
      <c r="D673" s="2">
        <v>547800</v>
      </c>
      <c r="E673">
        <v>0</v>
      </c>
      <c r="F673">
        <v>0</v>
      </c>
      <c r="G673">
        <v>0</v>
      </c>
    </row>
    <row r="674" spans="1:7" x14ac:dyDescent="0.25">
      <c r="A674" s="1">
        <v>44986</v>
      </c>
      <c r="B674" t="s">
        <v>11</v>
      </c>
      <c r="C674" t="s">
        <v>55</v>
      </c>
      <c r="D674" s="2">
        <v>-1992212.72</v>
      </c>
      <c r="E674" s="2">
        <v>521096.63</v>
      </c>
      <c r="F674" s="2">
        <v>404362.22</v>
      </c>
      <c r="G674" s="2">
        <v>9932.09</v>
      </c>
    </row>
    <row r="675" spans="1:7" x14ac:dyDescent="0.25">
      <c r="A675" s="1">
        <v>44986</v>
      </c>
      <c r="B675" t="s">
        <v>23</v>
      </c>
      <c r="C675" t="s">
        <v>79</v>
      </c>
      <c r="D675" s="2">
        <v>5940828.4400000004</v>
      </c>
      <c r="E675" s="2">
        <v>5107296.26</v>
      </c>
      <c r="F675" s="2">
        <v>5296103.72</v>
      </c>
      <c r="G675" s="2">
        <v>1400000</v>
      </c>
    </row>
    <row r="676" spans="1:7" x14ac:dyDescent="0.25">
      <c r="A676" s="1">
        <v>44986</v>
      </c>
      <c r="B676" t="s">
        <v>9</v>
      </c>
      <c r="C676" t="s">
        <v>78</v>
      </c>
      <c r="D676">
        <v>0</v>
      </c>
      <c r="E676">
        <v>0</v>
      </c>
      <c r="F676">
        <v>0</v>
      </c>
      <c r="G676" s="2">
        <v>330362.12</v>
      </c>
    </row>
    <row r="677" spans="1:7" x14ac:dyDescent="0.25">
      <c r="A677" s="1">
        <v>44986</v>
      </c>
      <c r="B677" t="s">
        <v>54</v>
      </c>
      <c r="C677" t="s">
        <v>74</v>
      </c>
      <c r="D677" s="2">
        <v>144950.20000000001</v>
      </c>
      <c r="E677">
        <v>0</v>
      </c>
      <c r="F677">
        <v>0</v>
      </c>
      <c r="G677" s="2">
        <v>47256.32</v>
      </c>
    </row>
    <row r="678" spans="1:7" x14ac:dyDescent="0.25">
      <c r="A678" s="1">
        <v>44986</v>
      </c>
      <c r="B678" t="s">
        <v>13</v>
      </c>
      <c r="C678" t="s">
        <v>12</v>
      </c>
      <c r="D678" s="2">
        <v>339656.9</v>
      </c>
      <c r="E678" s="2">
        <v>239679.44</v>
      </c>
      <c r="F678" s="2">
        <v>241179.44</v>
      </c>
      <c r="G678" s="2">
        <v>69175.45</v>
      </c>
    </row>
    <row r="679" spans="1:7" x14ac:dyDescent="0.25">
      <c r="A679" s="1">
        <v>44986</v>
      </c>
      <c r="B679" t="s">
        <v>27</v>
      </c>
      <c r="C679" t="s">
        <v>57</v>
      </c>
      <c r="D679" s="2">
        <v>223145</v>
      </c>
      <c r="E679" s="2">
        <v>284938.03000000003</v>
      </c>
      <c r="F679" s="2">
        <v>296211.38</v>
      </c>
      <c r="G679">
        <v>497.8</v>
      </c>
    </row>
    <row r="680" spans="1:7" x14ac:dyDescent="0.25">
      <c r="A680" s="1">
        <v>44986</v>
      </c>
      <c r="B680" t="s">
        <v>28</v>
      </c>
      <c r="C680" t="s">
        <v>29</v>
      </c>
      <c r="D680" s="2">
        <v>129010756.3</v>
      </c>
      <c r="E680" s="2">
        <v>128722975.65000001</v>
      </c>
      <c r="F680" s="2">
        <v>128338652.38</v>
      </c>
      <c r="G680" s="2">
        <v>13307.84</v>
      </c>
    </row>
    <row r="681" spans="1:7" x14ac:dyDescent="0.25">
      <c r="A681" s="1">
        <v>44986</v>
      </c>
      <c r="B681" t="s">
        <v>21</v>
      </c>
      <c r="C681" t="s">
        <v>72</v>
      </c>
      <c r="D681" s="2">
        <v>-1230751.2</v>
      </c>
      <c r="E681" s="2">
        <v>-545465.21</v>
      </c>
      <c r="F681" s="2">
        <v>-545465.21</v>
      </c>
      <c r="G681">
        <v>0</v>
      </c>
    </row>
    <row r="682" spans="1:7" x14ac:dyDescent="0.25">
      <c r="A682" s="1">
        <v>44986</v>
      </c>
      <c r="B682" t="s">
        <v>17</v>
      </c>
      <c r="C682" t="s">
        <v>68</v>
      </c>
      <c r="D682">
        <v>0</v>
      </c>
      <c r="E682">
        <v>0</v>
      </c>
      <c r="F682">
        <v>0</v>
      </c>
      <c r="G682" s="2">
        <v>83377.649999999994</v>
      </c>
    </row>
    <row r="683" spans="1:7" x14ac:dyDescent="0.25">
      <c r="A683" s="1">
        <v>44986</v>
      </c>
      <c r="B683" t="s">
        <v>28</v>
      </c>
      <c r="C683" t="s">
        <v>22</v>
      </c>
      <c r="D683" s="2">
        <v>299702.17</v>
      </c>
      <c r="E683" s="2">
        <v>42417192.82</v>
      </c>
      <c r="F683" s="2">
        <v>42417192.82</v>
      </c>
      <c r="G683">
        <v>0</v>
      </c>
    </row>
    <row r="684" spans="1:7" x14ac:dyDescent="0.25">
      <c r="A684" s="1">
        <v>44986</v>
      </c>
      <c r="B684" t="s">
        <v>45</v>
      </c>
      <c r="C684" t="s">
        <v>46</v>
      </c>
      <c r="D684">
        <v>0</v>
      </c>
      <c r="E684">
        <v>0</v>
      </c>
      <c r="F684">
        <v>0</v>
      </c>
      <c r="G684" s="2">
        <v>80000</v>
      </c>
    </row>
    <row r="685" spans="1:7" x14ac:dyDescent="0.25">
      <c r="A685" s="1">
        <v>44986</v>
      </c>
      <c r="B685" t="s">
        <v>31</v>
      </c>
      <c r="C685" t="s">
        <v>82</v>
      </c>
      <c r="D685" s="2">
        <v>154000000000</v>
      </c>
      <c r="E685" s="2">
        <v>213709734956.48001</v>
      </c>
      <c r="F685" s="2">
        <v>213709734956.48001</v>
      </c>
      <c r="G685">
        <v>0</v>
      </c>
    </row>
    <row r="686" spans="1:7" x14ac:dyDescent="0.25">
      <c r="A686" s="1">
        <v>44986</v>
      </c>
      <c r="B686" t="s">
        <v>11</v>
      </c>
      <c r="C686" t="s">
        <v>12</v>
      </c>
      <c r="D686" s="2">
        <v>117813.15</v>
      </c>
      <c r="E686" s="2">
        <v>88886.23</v>
      </c>
      <c r="F686" s="2">
        <v>62243.48</v>
      </c>
      <c r="G686" s="2">
        <v>300000</v>
      </c>
    </row>
    <row r="687" spans="1:7" x14ac:dyDescent="0.25">
      <c r="A687" s="1">
        <v>44986</v>
      </c>
      <c r="B687" t="s">
        <v>23</v>
      </c>
      <c r="C687" t="s">
        <v>64</v>
      </c>
      <c r="D687" s="2">
        <v>143902.14000000001</v>
      </c>
      <c r="E687" s="2">
        <v>502433.76</v>
      </c>
      <c r="F687" s="2">
        <v>1075125.1599999999</v>
      </c>
      <c r="G687" s="2">
        <v>882909.07</v>
      </c>
    </row>
    <row r="688" spans="1:7" x14ac:dyDescent="0.25">
      <c r="A688" s="1">
        <v>44986</v>
      </c>
      <c r="B688" t="s">
        <v>26</v>
      </c>
      <c r="C688" t="s">
        <v>40</v>
      </c>
      <c r="D688" s="2">
        <v>306256.59999999998</v>
      </c>
      <c r="E688" s="2">
        <v>100507.41</v>
      </c>
      <c r="F688" s="2">
        <v>100507.41</v>
      </c>
      <c r="G688">
        <v>0</v>
      </c>
    </row>
    <row r="689" spans="1:7" x14ac:dyDescent="0.25">
      <c r="A689" s="1">
        <v>44986</v>
      </c>
      <c r="B689" t="s">
        <v>41</v>
      </c>
      <c r="C689" t="s">
        <v>42</v>
      </c>
      <c r="D689">
        <v>0</v>
      </c>
      <c r="E689">
        <v>0</v>
      </c>
      <c r="F689">
        <v>0</v>
      </c>
      <c r="G689" s="2">
        <v>15800</v>
      </c>
    </row>
    <row r="690" spans="1:7" x14ac:dyDescent="0.25">
      <c r="A690" s="1">
        <v>44986</v>
      </c>
      <c r="B690" t="s">
        <v>65</v>
      </c>
      <c r="C690" t="s">
        <v>14</v>
      </c>
      <c r="D690">
        <v>0</v>
      </c>
      <c r="E690">
        <v>0</v>
      </c>
      <c r="F690">
        <v>0</v>
      </c>
      <c r="G690" s="2">
        <v>938946.73</v>
      </c>
    </row>
    <row r="691" spans="1:7" x14ac:dyDescent="0.25">
      <c r="A691" s="1">
        <v>44986</v>
      </c>
      <c r="B691" t="s">
        <v>28</v>
      </c>
      <c r="C691" t="s">
        <v>75</v>
      </c>
      <c r="D691" s="2">
        <v>600000</v>
      </c>
      <c r="E691" s="2">
        <v>236829.62</v>
      </c>
      <c r="F691" s="2">
        <v>320887.86</v>
      </c>
      <c r="G691" s="2">
        <v>153947.72</v>
      </c>
    </row>
    <row r="692" spans="1:7" x14ac:dyDescent="0.25">
      <c r="A692" s="1">
        <v>44986</v>
      </c>
      <c r="B692" t="s">
        <v>17</v>
      </c>
      <c r="C692" t="s">
        <v>48</v>
      </c>
      <c r="D692">
        <v>0</v>
      </c>
      <c r="E692">
        <v>0</v>
      </c>
      <c r="F692">
        <v>0</v>
      </c>
      <c r="G692" s="2">
        <v>4177775.69</v>
      </c>
    </row>
    <row r="693" spans="1:7" x14ac:dyDescent="0.25">
      <c r="A693" s="1">
        <v>44986</v>
      </c>
      <c r="B693" t="s">
        <v>65</v>
      </c>
      <c r="C693" t="s">
        <v>94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 s="1">
        <v>44986</v>
      </c>
      <c r="B694" t="s">
        <v>65</v>
      </c>
      <c r="C694" t="s">
        <v>89</v>
      </c>
      <c r="D694" s="2">
        <v>200000</v>
      </c>
      <c r="E694">
        <v>0</v>
      </c>
      <c r="F694">
        <v>0</v>
      </c>
      <c r="G694">
        <v>0</v>
      </c>
    </row>
    <row r="695" spans="1:7" x14ac:dyDescent="0.25">
      <c r="A695" s="1">
        <v>44986</v>
      </c>
      <c r="B695" t="s">
        <v>7</v>
      </c>
      <c r="C695" t="s">
        <v>81</v>
      </c>
      <c r="D695" s="2">
        <v>-3000000</v>
      </c>
      <c r="E695" s="2">
        <v>156318298.94999999</v>
      </c>
      <c r="F695" s="2">
        <v>156318298.94999999</v>
      </c>
      <c r="G695" s="2">
        <v>137522.54999999999</v>
      </c>
    </row>
    <row r="696" spans="1:7" x14ac:dyDescent="0.25">
      <c r="A696" s="1">
        <v>44986</v>
      </c>
      <c r="B696" t="s">
        <v>15</v>
      </c>
      <c r="C696" t="s">
        <v>25</v>
      </c>
      <c r="D696" s="2">
        <v>-160000</v>
      </c>
      <c r="E696" s="2">
        <v>76641.42</v>
      </c>
      <c r="F696" s="2">
        <v>77377.279999999999</v>
      </c>
      <c r="G696" s="2">
        <v>616447.43000000005</v>
      </c>
    </row>
    <row r="697" spans="1:7" x14ac:dyDescent="0.25">
      <c r="A697" s="1">
        <v>44986</v>
      </c>
      <c r="B697" t="s">
        <v>9</v>
      </c>
      <c r="C697" t="s">
        <v>24</v>
      </c>
      <c r="D697">
        <v>0</v>
      </c>
      <c r="E697">
        <v>0</v>
      </c>
      <c r="F697">
        <v>0</v>
      </c>
      <c r="G697" s="2">
        <v>2127700.79</v>
      </c>
    </row>
    <row r="698" spans="1:7" x14ac:dyDescent="0.25">
      <c r="A698" s="1">
        <v>44986</v>
      </c>
      <c r="B698" t="s">
        <v>15</v>
      </c>
      <c r="C698" t="s">
        <v>12</v>
      </c>
      <c r="D698" s="2">
        <v>219012.85</v>
      </c>
      <c r="E698" s="2">
        <v>112833.56</v>
      </c>
      <c r="F698" s="2">
        <v>103020.53</v>
      </c>
      <c r="G698" s="2">
        <v>7725</v>
      </c>
    </row>
    <row r="699" spans="1:7" x14ac:dyDescent="0.25">
      <c r="A699" s="1">
        <v>44986</v>
      </c>
      <c r="B699" t="s">
        <v>83</v>
      </c>
      <c r="C699" t="s">
        <v>42</v>
      </c>
      <c r="D699">
        <v>504</v>
      </c>
      <c r="E699" s="2">
        <v>67907.990000000005</v>
      </c>
      <c r="F699" s="2">
        <v>63162.7</v>
      </c>
      <c r="G699">
        <v>0</v>
      </c>
    </row>
    <row r="700" spans="1:7" x14ac:dyDescent="0.25">
      <c r="A700" s="1">
        <v>44986</v>
      </c>
      <c r="B700" t="s">
        <v>87</v>
      </c>
      <c r="C700" t="s">
        <v>77</v>
      </c>
      <c r="D700" s="2">
        <v>51545.66</v>
      </c>
      <c r="E700" s="2">
        <v>45497.37</v>
      </c>
      <c r="F700" s="2">
        <v>2193.8000000000002</v>
      </c>
      <c r="G700" s="2">
        <v>1776795.07</v>
      </c>
    </row>
    <row r="701" spans="1:7" x14ac:dyDescent="0.25">
      <c r="A701" s="1">
        <v>44986</v>
      </c>
      <c r="B701" t="s">
        <v>69</v>
      </c>
      <c r="C701" t="s">
        <v>84</v>
      </c>
      <c r="D701">
        <v>0</v>
      </c>
      <c r="E701">
        <v>0</v>
      </c>
      <c r="F701">
        <v>0</v>
      </c>
      <c r="G701" s="2">
        <v>289091.73</v>
      </c>
    </row>
    <row r="702" spans="1:7" x14ac:dyDescent="0.25">
      <c r="A702" s="1">
        <v>44986</v>
      </c>
      <c r="B702" t="s">
        <v>91</v>
      </c>
      <c r="C702" t="s">
        <v>51</v>
      </c>
      <c r="D702" s="2">
        <v>25000</v>
      </c>
      <c r="E702" s="2">
        <v>41602.14</v>
      </c>
      <c r="F702" s="2">
        <v>23101.54</v>
      </c>
      <c r="G702" s="2">
        <v>130000</v>
      </c>
    </row>
    <row r="703" spans="1:7" x14ac:dyDescent="0.25">
      <c r="A703" s="1">
        <v>44986</v>
      </c>
      <c r="B703" t="s">
        <v>54</v>
      </c>
      <c r="C703" t="s">
        <v>76</v>
      </c>
      <c r="D703">
        <v>0</v>
      </c>
      <c r="E703" s="2">
        <v>4318.8999999999996</v>
      </c>
      <c r="F703" s="2">
        <v>4318.8999999999996</v>
      </c>
      <c r="G703" s="2">
        <v>1867321.38</v>
      </c>
    </row>
    <row r="704" spans="1:7" x14ac:dyDescent="0.25">
      <c r="A704" s="1">
        <v>44986</v>
      </c>
      <c r="B704" t="s">
        <v>21</v>
      </c>
      <c r="C704" t="s">
        <v>78</v>
      </c>
      <c r="D704">
        <v>0</v>
      </c>
      <c r="E704">
        <v>0</v>
      </c>
      <c r="F704">
        <v>0</v>
      </c>
      <c r="G704" s="2">
        <v>2671.92</v>
      </c>
    </row>
    <row r="705" spans="1:7" x14ac:dyDescent="0.25">
      <c r="A705" s="1">
        <v>44986</v>
      </c>
      <c r="B705" t="s">
        <v>47</v>
      </c>
      <c r="C705" t="s">
        <v>16</v>
      </c>
      <c r="D705" s="2">
        <v>38052545.939999998</v>
      </c>
      <c r="E705">
        <v>0</v>
      </c>
      <c r="F705">
        <v>0</v>
      </c>
      <c r="G705" s="2">
        <v>54993135.590000004</v>
      </c>
    </row>
    <row r="706" spans="1:7" x14ac:dyDescent="0.25">
      <c r="A706" s="1">
        <v>44986</v>
      </c>
      <c r="B706" t="s">
        <v>41</v>
      </c>
      <c r="C706" t="s">
        <v>85</v>
      </c>
      <c r="D706" s="2">
        <v>144792.64000000001</v>
      </c>
      <c r="E706" s="2">
        <v>117845.09</v>
      </c>
      <c r="F706" s="2">
        <v>10019.459999999999</v>
      </c>
      <c r="G706" s="2">
        <v>1386322.47</v>
      </c>
    </row>
    <row r="707" spans="1:7" x14ac:dyDescent="0.25">
      <c r="A707" s="1">
        <v>44986</v>
      </c>
      <c r="B707" t="s">
        <v>13</v>
      </c>
      <c r="C707" t="s">
        <v>22</v>
      </c>
      <c r="D707" s="2">
        <v>870000</v>
      </c>
      <c r="E707" s="2">
        <v>13906530.699999999</v>
      </c>
      <c r="F707" s="2">
        <v>13936843.18</v>
      </c>
      <c r="G707">
        <v>0</v>
      </c>
    </row>
    <row r="708" spans="1:7" x14ac:dyDescent="0.25">
      <c r="A708" s="1">
        <v>44986</v>
      </c>
      <c r="B708" t="s">
        <v>47</v>
      </c>
      <c r="C708" t="s">
        <v>24</v>
      </c>
      <c r="D708" s="2">
        <v>2877500</v>
      </c>
      <c r="E708" s="2">
        <v>646802.79</v>
      </c>
      <c r="F708" s="2">
        <v>646802.79</v>
      </c>
      <c r="G708">
        <v>0</v>
      </c>
    </row>
    <row r="709" spans="1:7" x14ac:dyDescent="0.25">
      <c r="A709" s="1">
        <v>44986</v>
      </c>
      <c r="B709" t="s">
        <v>43</v>
      </c>
      <c r="C709" t="s">
        <v>40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 s="1">
        <v>44986</v>
      </c>
      <c r="B710" t="s">
        <v>15</v>
      </c>
      <c r="C710" t="s">
        <v>79</v>
      </c>
      <c r="D710" s="2">
        <v>-100161.88</v>
      </c>
      <c r="E710" s="2">
        <v>51217.32</v>
      </c>
      <c r="F710" s="2">
        <v>51890.37</v>
      </c>
      <c r="G710">
        <v>509.31</v>
      </c>
    </row>
    <row r="711" spans="1:7" x14ac:dyDescent="0.25">
      <c r="A711" s="1">
        <v>44986</v>
      </c>
      <c r="B711" t="s">
        <v>43</v>
      </c>
      <c r="C711" t="s">
        <v>34</v>
      </c>
      <c r="D711" s="2">
        <v>298913.71999999997</v>
      </c>
      <c r="E711">
        <v>0</v>
      </c>
      <c r="F711">
        <v>0</v>
      </c>
      <c r="G711">
        <v>0</v>
      </c>
    </row>
    <row r="712" spans="1:7" x14ac:dyDescent="0.25">
      <c r="A712" s="1">
        <v>44986</v>
      </c>
      <c r="B712" t="s">
        <v>13</v>
      </c>
      <c r="C712" t="s">
        <v>39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 s="1">
        <v>44986</v>
      </c>
      <c r="B713" t="s">
        <v>43</v>
      </c>
      <c r="C713" t="s">
        <v>22</v>
      </c>
      <c r="D713" s="2">
        <v>-7722020.4100000001</v>
      </c>
      <c r="E713" s="2">
        <v>7920796.0499999998</v>
      </c>
      <c r="F713" s="2">
        <v>7916963.4500000002</v>
      </c>
      <c r="G713">
        <v>0</v>
      </c>
    </row>
    <row r="714" spans="1:7" x14ac:dyDescent="0.25">
      <c r="A714" s="1">
        <v>44986</v>
      </c>
      <c r="B714" t="s">
        <v>28</v>
      </c>
      <c r="C714" t="s">
        <v>90</v>
      </c>
      <c r="D714" s="2">
        <v>1043135.43</v>
      </c>
      <c r="E714" s="2">
        <v>371704.07</v>
      </c>
      <c r="F714" s="2">
        <v>347737.46</v>
      </c>
      <c r="G714">
        <v>0</v>
      </c>
    </row>
    <row r="715" spans="1:7" x14ac:dyDescent="0.25">
      <c r="A715" s="1">
        <v>44986</v>
      </c>
      <c r="B715" t="s">
        <v>15</v>
      </c>
      <c r="C715" t="s">
        <v>88</v>
      </c>
      <c r="D715" s="2">
        <v>-300722</v>
      </c>
      <c r="E715" s="2">
        <v>3247134.47</v>
      </c>
      <c r="F715" s="2">
        <v>3237986.54</v>
      </c>
      <c r="G715" s="2">
        <v>911757.62</v>
      </c>
    </row>
    <row r="716" spans="1:7" x14ac:dyDescent="0.25">
      <c r="A716" s="1">
        <v>44986</v>
      </c>
      <c r="B716" t="s">
        <v>69</v>
      </c>
      <c r="C716" t="s">
        <v>77</v>
      </c>
      <c r="D716" s="2">
        <v>211000</v>
      </c>
      <c r="E716" s="2">
        <v>128892.51</v>
      </c>
      <c r="F716" s="2">
        <v>128892.51</v>
      </c>
      <c r="G716" s="2">
        <v>47739.040000000001</v>
      </c>
    </row>
    <row r="717" spans="1:7" x14ac:dyDescent="0.25">
      <c r="A717" s="1">
        <v>44986</v>
      </c>
      <c r="B717" t="s">
        <v>27</v>
      </c>
      <c r="C717" t="s">
        <v>72</v>
      </c>
      <c r="D717">
        <v>0</v>
      </c>
      <c r="E717" s="2">
        <v>7680826.79</v>
      </c>
      <c r="F717" s="2">
        <v>9999577</v>
      </c>
      <c r="G717">
        <v>0</v>
      </c>
    </row>
    <row r="718" spans="1:7" x14ac:dyDescent="0.25">
      <c r="A718" s="1">
        <v>44986</v>
      </c>
      <c r="B718" t="s">
        <v>11</v>
      </c>
      <c r="C718" t="s">
        <v>71</v>
      </c>
      <c r="D718" s="2">
        <v>222228.38</v>
      </c>
      <c r="E718" s="2">
        <v>342165.98</v>
      </c>
      <c r="F718" s="2">
        <v>342165.98</v>
      </c>
      <c r="G718">
        <v>-615.51</v>
      </c>
    </row>
    <row r="719" spans="1:7" x14ac:dyDescent="0.25">
      <c r="A719" s="1">
        <v>44986</v>
      </c>
      <c r="B719" t="s">
        <v>65</v>
      </c>
      <c r="C719" t="s">
        <v>73</v>
      </c>
      <c r="D719" s="2">
        <v>1647814525.21</v>
      </c>
      <c r="E719" s="2">
        <v>1647664525.21</v>
      </c>
      <c r="F719" s="2">
        <v>1647664525.21</v>
      </c>
      <c r="G719" s="2">
        <v>25758.49</v>
      </c>
    </row>
    <row r="720" spans="1:7" x14ac:dyDescent="0.25">
      <c r="A720" s="1">
        <v>44986</v>
      </c>
      <c r="B720" t="s">
        <v>91</v>
      </c>
      <c r="C720" t="s">
        <v>14</v>
      </c>
      <c r="D720" s="2">
        <v>-22496140.190000001</v>
      </c>
      <c r="E720" s="2">
        <v>7785220.71</v>
      </c>
      <c r="F720" s="2">
        <v>5711578.8399999999</v>
      </c>
      <c r="G720" s="2">
        <v>10278280.710000001</v>
      </c>
    </row>
    <row r="721" spans="1:7" x14ac:dyDescent="0.25">
      <c r="A721" s="1">
        <v>44986</v>
      </c>
      <c r="B721" t="s">
        <v>69</v>
      </c>
      <c r="C721" t="s">
        <v>34</v>
      </c>
      <c r="D721" s="2">
        <v>122453.31</v>
      </c>
      <c r="E721" s="2">
        <v>100117.07</v>
      </c>
      <c r="F721" s="2">
        <v>59595.39</v>
      </c>
      <c r="G721" s="2">
        <v>110603.55</v>
      </c>
    </row>
    <row r="722" spans="1:7" x14ac:dyDescent="0.25">
      <c r="A722" s="1">
        <v>44986</v>
      </c>
      <c r="B722" t="s">
        <v>91</v>
      </c>
      <c r="C722" t="s">
        <v>22</v>
      </c>
      <c r="D722" s="2">
        <v>35000000</v>
      </c>
      <c r="E722" s="2">
        <v>14551994.17</v>
      </c>
      <c r="F722" s="2">
        <v>14560766.369999999</v>
      </c>
      <c r="G722">
        <v>92.42</v>
      </c>
    </row>
    <row r="723" spans="1:7" x14ac:dyDescent="0.25">
      <c r="A723" s="1">
        <v>44986</v>
      </c>
      <c r="B723" t="s">
        <v>31</v>
      </c>
      <c r="C723" t="s">
        <v>92</v>
      </c>
      <c r="D723" s="2">
        <v>2325198449.4899998</v>
      </c>
      <c r="E723" s="2">
        <v>8465068242.9099998</v>
      </c>
      <c r="F723" s="2">
        <v>8465068242.9099998</v>
      </c>
      <c r="G723">
        <v>0</v>
      </c>
    </row>
    <row r="724" spans="1:7" x14ac:dyDescent="0.25">
      <c r="A724" s="1">
        <v>44986</v>
      </c>
      <c r="B724" t="s">
        <v>62</v>
      </c>
      <c r="C724" t="s">
        <v>12</v>
      </c>
      <c r="D724" s="2">
        <v>130859.78</v>
      </c>
      <c r="E724" s="2">
        <v>8637.59</v>
      </c>
      <c r="F724" s="2">
        <v>7435.59</v>
      </c>
      <c r="G724">
        <v>330.02</v>
      </c>
    </row>
    <row r="725" spans="1:7" x14ac:dyDescent="0.25">
      <c r="A725" s="1">
        <v>44986</v>
      </c>
      <c r="B725" t="s">
        <v>69</v>
      </c>
      <c r="C725" t="s">
        <v>12</v>
      </c>
      <c r="D725" s="2">
        <v>135966.67000000001</v>
      </c>
      <c r="E725" s="2">
        <v>23634.21</v>
      </c>
      <c r="F725" s="2">
        <v>23634.21</v>
      </c>
      <c r="G725">
        <v>0</v>
      </c>
    </row>
    <row r="726" spans="1:7" x14ac:dyDescent="0.25">
      <c r="A726" s="1">
        <v>44986</v>
      </c>
      <c r="B726" t="s">
        <v>15</v>
      </c>
      <c r="C726" t="s">
        <v>72</v>
      </c>
      <c r="D726" s="2">
        <v>10000</v>
      </c>
      <c r="E726" s="2">
        <v>2042490.37</v>
      </c>
      <c r="F726" s="2">
        <v>2130275.33</v>
      </c>
      <c r="G726">
        <v>0</v>
      </c>
    </row>
    <row r="727" spans="1:7" x14ac:dyDescent="0.25">
      <c r="A727" s="1">
        <v>44986</v>
      </c>
      <c r="B727" t="s">
        <v>28</v>
      </c>
      <c r="C727" t="s">
        <v>12</v>
      </c>
      <c r="D727" s="2">
        <v>-186279.56</v>
      </c>
      <c r="E727" s="2">
        <v>26606.18</v>
      </c>
      <c r="F727" s="2">
        <v>26387.74</v>
      </c>
      <c r="G727">
        <v>0</v>
      </c>
    </row>
    <row r="728" spans="1:7" x14ac:dyDescent="0.25">
      <c r="A728" s="1">
        <v>44986</v>
      </c>
      <c r="B728" t="s">
        <v>21</v>
      </c>
      <c r="C728" t="s">
        <v>80</v>
      </c>
      <c r="D728" s="2">
        <v>872000</v>
      </c>
      <c r="E728" s="2">
        <v>6798361.6900000004</v>
      </c>
      <c r="F728" s="2">
        <v>6787680.96</v>
      </c>
      <c r="G728" s="2">
        <v>28836357.870000001</v>
      </c>
    </row>
    <row r="729" spans="1:7" x14ac:dyDescent="0.25">
      <c r="A729" s="1">
        <v>44986</v>
      </c>
      <c r="B729" t="s">
        <v>33</v>
      </c>
      <c r="C729" t="s">
        <v>78</v>
      </c>
      <c r="D729">
        <v>0</v>
      </c>
      <c r="E729">
        <v>0</v>
      </c>
      <c r="F729">
        <v>0</v>
      </c>
      <c r="G729" s="2">
        <v>2116683.88</v>
      </c>
    </row>
    <row r="730" spans="1:7" x14ac:dyDescent="0.25">
      <c r="A730" s="1">
        <v>44986</v>
      </c>
      <c r="B730" t="s">
        <v>33</v>
      </c>
      <c r="C730" t="s">
        <v>35</v>
      </c>
      <c r="D730" s="2">
        <v>5000000</v>
      </c>
      <c r="E730" s="2">
        <v>844485.24</v>
      </c>
      <c r="F730">
        <v>0</v>
      </c>
      <c r="G730">
        <v>170</v>
      </c>
    </row>
    <row r="731" spans="1:7" x14ac:dyDescent="0.25">
      <c r="A731" s="1">
        <v>44986</v>
      </c>
      <c r="B731" t="s">
        <v>91</v>
      </c>
      <c r="C731" t="s">
        <v>79</v>
      </c>
      <c r="D731" s="2">
        <v>16570422.199999999</v>
      </c>
      <c r="E731" s="2">
        <v>3333050.02</v>
      </c>
      <c r="F731" s="2">
        <v>2398426.42</v>
      </c>
      <c r="G731" s="2">
        <v>12573590.039999999</v>
      </c>
    </row>
    <row r="732" spans="1:7" x14ac:dyDescent="0.25">
      <c r="A732" s="1">
        <v>44986</v>
      </c>
      <c r="B732" t="s">
        <v>33</v>
      </c>
      <c r="C732" t="s">
        <v>14</v>
      </c>
      <c r="D732" s="2">
        <v>250042353.49000001</v>
      </c>
      <c r="E732" s="2">
        <v>12501819.640000001</v>
      </c>
      <c r="F732" s="2">
        <v>12498122.300000001</v>
      </c>
      <c r="G732" s="2">
        <v>250945495.06999999</v>
      </c>
    </row>
    <row r="733" spans="1:7" x14ac:dyDescent="0.25">
      <c r="A733" s="1">
        <v>44986</v>
      </c>
      <c r="B733" t="s">
        <v>37</v>
      </c>
      <c r="C733" t="s">
        <v>22</v>
      </c>
      <c r="D733">
        <v>0</v>
      </c>
      <c r="E733" s="2">
        <v>6169028.3399999999</v>
      </c>
      <c r="F733" s="2">
        <v>6169028.3399999999</v>
      </c>
      <c r="G733">
        <v>0</v>
      </c>
    </row>
    <row r="734" spans="1:7" x14ac:dyDescent="0.25">
      <c r="A734" s="1">
        <v>44986</v>
      </c>
      <c r="B734" t="s">
        <v>23</v>
      </c>
      <c r="C734" t="s">
        <v>90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 s="1">
        <v>44986</v>
      </c>
      <c r="B735" t="s">
        <v>52</v>
      </c>
      <c r="C735" t="s">
        <v>22</v>
      </c>
      <c r="D735" s="2">
        <v>1900000</v>
      </c>
      <c r="E735" s="2">
        <v>1858473</v>
      </c>
      <c r="F735" s="2">
        <v>3607.48</v>
      </c>
      <c r="G735">
        <v>0</v>
      </c>
    </row>
    <row r="736" spans="1:7" x14ac:dyDescent="0.25">
      <c r="A736" s="1">
        <v>44986</v>
      </c>
      <c r="B736" t="s">
        <v>33</v>
      </c>
      <c r="C736" t="s">
        <v>40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 s="1">
        <v>44986</v>
      </c>
      <c r="B737" t="s">
        <v>45</v>
      </c>
      <c r="C737" t="s">
        <v>10</v>
      </c>
      <c r="D737">
        <v>0</v>
      </c>
      <c r="E737">
        <v>0</v>
      </c>
      <c r="F737">
        <v>0</v>
      </c>
      <c r="G737" s="2">
        <v>99171.98</v>
      </c>
    </row>
    <row r="738" spans="1:7" x14ac:dyDescent="0.25">
      <c r="A738" s="1">
        <v>44986</v>
      </c>
      <c r="B738" t="s">
        <v>33</v>
      </c>
      <c r="C738" t="s">
        <v>94</v>
      </c>
      <c r="D738" s="2">
        <v>5725946.8799999999</v>
      </c>
      <c r="E738" s="2">
        <v>373413.04</v>
      </c>
      <c r="F738" s="2">
        <v>373413.04</v>
      </c>
      <c r="G738" s="2">
        <v>61951.22</v>
      </c>
    </row>
    <row r="739" spans="1:7" x14ac:dyDescent="0.25">
      <c r="A739" s="1">
        <v>44986</v>
      </c>
      <c r="B739" t="s">
        <v>23</v>
      </c>
      <c r="C739" t="s">
        <v>77</v>
      </c>
      <c r="D739" s="2">
        <v>81516.479999999996</v>
      </c>
      <c r="E739" s="2">
        <v>66492.52</v>
      </c>
      <c r="F739" s="2">
        <v>63603.87</v>
      </c>
      <c r="G739" s="2">
        <v>6920099.5700000003</v>
      </c>
    </row>
    <row r="740" spans="1:7" x14ac:dyDescent="0.25">
      <c r="A740" s="1">
        <v>44986</v>
      </c>
      <c r="B740" t="s">
        <v>36</v>
      </c>
      <c r="C740" t="s">
        <v>75</v>
      </c>
      <c r="D740" s="2">
        <v>183118.36</v>
      </c>
      <c r="E740" s="2">
        <v>206139.56</v>
      </c>
      <c r="F740" s="2">
        <v>189146.13</v>
      </c>
      <c r="G740" s="2">
        <v>1714.3</v>
      </c>
    </row>
    <row r="741" spans="1:7" x14ac:dyDescent="0.25">
      <c r="A741" s="1">
        <v>44986</v>
      </c>
      <c r="B741" t="s">
        <v>65</v>
      </c>
      <c r="C741" t="s">
        <v>22</v>
      </c>
      <c r="D741" s="2">
        <v>50000</v>
      </c>
      <c r="E741" s="2">
        <v>29225189.84</v>
      </c>
      <c r="F741" s="2">
        <v>29225189.84</v>
      </c>
      <c r="G741">
        <v>0</v>
      </c>
    </row>
    <row r="742" spans="1:7" x14ac:dyDescent="0.25">
      <c r="A742" s="1">
        <v>44986</v>
      </c>
      <c r="B742" t="s">
        <v>15</v>
      </c>
      <c r="C742" t="s">
        <v>60</v>
      </c>
      <c r="D742" s="2">
        <v>523036.93</v>
      </c>
      <c r="E742" s="2">
        <v>2313304.6800000002</v>
      </c>
      <c r="F742" s="2">
        <v>2249207.85</v>
      </c>
      <c r="G742" s="2">
        <v>638361.78</v>
      </c>
    </row>
    <row r="743" spans="1:7" x14ac:dyDescent="0.25">
      <c r="A743" s="1">
        <v>44986</v>
      </c>
      <c r="B743" t="s">
        <v>31</v>
      </c>
      <c r="C743" t="s">
        <v>97</v>
      </c>
      <c r="D743">
        <v>0</v>
      </c>
      <c r="E743" s="2">
        <v>6305987668.5699997</v>
      </c>
      <c r="F743" s="2">
        <v>6305987668.5699997</v>
      </c>
      <c r="G743">
        <v>0</v>
      </c>
    </row>
    <row r="744" spans="1:7" x14ac:dyDescent="0.25">
      <c r="A744" s="1">
        <v>44986</v>
      </c>
      <c r="B744" t="s">
        <v>43</v>
      </c>
      <c r="C744" t="s">
        <v>78</v>
      </c>
      <c r="D744">
        <v>0</v>
      </c>
      <c r="E744">
        <v>0</v>
      </c>
      <c r="F744">
        <v>0</v>
      </c>
      <c r="G744" s="2">
        <v>57021.07</v>
      </c>
    </row>
    <row r="745" spans="1:7" x14ac:dyDescent="0.25">
      <c r="A745" s="1">
        <v>44986</v>
      </c>
      <c r="B745" t="s">
        <v>26</v>
      </c>
      <c r="C745" t="s">
        <v>66</v>
      </c>
      <c r="D745" s="2">
        <v>431622.81</v>
      </c>
      <c r="E745" s="2">
        <v>64344.97</v>
      </c>
      <c r="F745" s="2">
        <v>63739.97</v>
      </c>
      <c r="G745" s="2">
        <v>88156.62</v>
      </c>
    </row>
    <row r="746" spans="1:7" x14ac:dyDescent="0.25">
      <c r="A746" s="1">
        <v>44986</v>
      </c>
      <c r="B746" t="s">
        <v>26</v>
      </c>
      <c r="C746" t="s">
        <v>24</v>
      </c>
      <c r="D746" s="2">
        <v>86314.54</v>
      </c>
      <c r="E746" s="2">
        <v>14282.66</v>
      </c>
      <c r="F746" s="2">
        <v>15061.77</v>
      </c>
      <c r="G746">
        <v>287.17</v>
      </c>
    </row>
    <row r="747" spans="1:7" x14ac:dyDescent="0.25">
      <c r="A747" s="1">
        <v>44986</v>
      </c>
      <c r="B747" t="s">
        <v>36</v>
      </c>
      <c r="C747" t="s">
        <v>121</v>
      </c>
      <c r="D747">
        <v>0</v>
      </c>
      <c r="E747">
        <v>0</v>
      </c>
      <c r="F747">
        <v>0</v>
      </c>
      <c r="G747" s="2">
        <v>1677</v>
      </c>
    </row>
    <row r="748" spans="1:7" x14ac:dyDescent="0.25">
      <c r="A748" s="1">
        <v>44986</v>
      </c>
      <c r="B748" t="s">
        <v>13</v>
      </c>
      <c r="C748" t="s">
        <v>72</v>
      </c>
      <c r="D748" s="2">
        <v>1622925.35</v>
      </c>
      <c r="E748" s="2">
        <v>8341242.6699999999</v>
      </c>
      <c r="F748" s="2">
        <v>9314299.5800000001</v>
      </c>
      <c r="G748">
        <v>0</v>
      </c>
    </row>
    <row r="749" spans="1:7" x14ac:dyDescent="0.25">
      <c r="A749" s="1">
        <v>44986</v>
      </c>
      <c r="B749" t="s">
        <v>33</v>
      </c>
      <c r="C749" t="s">
        <v>55</v>
      </c>
      <c r="D749" s="2">
        <v>1440.3</v>
      </c>
      <c r="E749">
        <v>0</v>
      </c>
      <c r="F749">
        <v>0</v>
      </c>
      <c r="G749" s="2">
        <v>216604.49</v>
      </c>
    </row>
    <row r="750" spans="1:7" x14ac:dyDescent="0.25">
      <c r="A750" s="1">
        <v>44986</v>
      </c>
      <c r="B750" t="s">
        <v>52</v>
      </c>
      <c r="C750" t="s">
        <v>16</v>
      </c>
      <c r="D750">
        <v>612</v>
      </c>
      <c r="E750">
        <v>612</v>
      </c>
      <c r="F750">
        <v>554.16999999999996</v>
      </c>
      <c r="G750" s="2">
        <v>27048.35</v>
      </c>
    </row>
    <row r="751" spans="1:7" x14ac:dyDescent="0.25">
      <c r="A751" s="1">
        <v>44986</v>
      </c>
      <c r="B751" t="s">
        <v>7</v>
      </c>
      <c r="C751" t="s">
        <v>97</v>
      </c>
      <c r="D751">
        <v>0</v>
      </c>
      <c r="E751" s="2">
        <v>2294494473.9099998</v>
      </c>
      <c r="F751" s="2">
        <v>2294494473.9099998</v>
      </c>
      <c r="G751">
        <v>0</v>
      </c>
    </row>
    <row r="752" spans="1:7" x14ac:dyDescent="0.25">
      <c r="A752" s="1">
        <v>44986</v>
      </c>
      <c r="B752" t="s">
        <v>26</v>
      </c>
      <c r="C752" t="s">
        <v>22</v>
      </c>
      <c r="D752" s="2">
        <v>-11408922.060000001</v>
      </c>
      <c r="E752" s="2">
        <v>5740823.04</v>
      </c>
      <c r="F752" s="2">
        <v>5740823.04</v>
      </c>
      <c r="G752">
        <v>0</v>
      </c>
    </row>
    <row r="753" spans="1:7" x14ac:dyDescent="0.25">
      <c r="A753" s="1">
        <v>44986</v>
      </c>
      <c r="B753" t="s">
        <v>7</v>
      </c>
      <c r="C753" t="s">
        <v>78</v>
      </c>
      <c r="D753">
        <v>0</v>
      </c>
      <c r="E753">
        <v>0</v>
      </c>
      <c r="F753">
        <v>0</v>
      </c>
      <c r="G753" s="2">
        <v>629136.23</v>
      </c>
    </row>
    <row r="754" spans="1:7" x14ac:dyDescent="0.25">
      <c r="A754" s="1">
        <v>44986</v>
      </c>
      <c r="B754" t="s">
        <v>17</v>
      </c>
      <c r="C754" t="s">
        <v>93</v>
      </c>
      <c r="D754" s="2">
        <v>379517.61</v>
      </c>
      <c r="E754" s="2">
        <v>415669.36</v>
      </c>
      <c r="F754" s="2">
        <v>457998.11</v>
      </c>
      <c r="G754" s="2">
        <v>3488447.91</v>
      </c>
    </row>
    <row r="755" spans="1:7" x14ac:dyDescent="0.25">
      <c r="A755" s="1">
        <v>44986</v>
      </c>
      <c r="B755" t="s">
        <v>28</v>
      </c>
      <c r="C755" t="s">
        <v>99</v>
      </c>
      <c r="D755" s="2">
        <v>10179994.42</v>
      </c>
      <c r="E755" s="2">
        <v>2942238</v>
      </c>
      <c r="F755" s="2">
        <v>2866394.47</v>
      </c>
      <c r="G755" s="2">
        <v>61404.88</v>
      </c>
    </row>
    <row r="756" spans="1:7" x14ac:dyDescent="0.25">
      <c r="A756" s="1">
        <v>44986</v>
      </c>
      <c r="B756" t="s">
        <v>62</v>
      </c>
      <c r="C756" t="s">
        <v>22</v>
      </c>
      <c r="D756" s="2">
        <v>168034</v>
      </c>
      <c r="E756" s="2">
        <v>5791787.0899999999</v>
      </c>
      <c r="F756" s="2">
        <v>4966813.2699999996</v>
      </c>
      <c r="G756">
        <v>0</v>
      </c>
    </row>
    <row r="757" spans="1:7" x14ac:dyDescent="0.25">
      <c r="A757" s="1">
        <v>44986</v>
      </c>
      <c r="B757" t="s">
        <v>54</v>
      </c>
      <c r="C757" t="s">
        <v>14</v>
      </c>
      <c r="D757" s="2">
        <v>27128652.300000001</v>
      </c>
      <c r="E757" s="2">
        <v>873252.01</v>
      </c>
      <c r="F757" s="2">
        <v>609341.64</v>
      </c>
      <c r="G757" s="2">
        <v>1957406.76</v>
      </c>
    </row>
    <row r="758" spans="1:7" x14ac:dyDescent="0.25">
      <c r="A758" s="1">
        <v>44986</v>
      </c>
      <c r="B758" t="s">
        <v>47</v>
      </c>
      <c r="C758" t="s">
        <v>72</v>
      </c>
      <c r="D758" s="2">
        <v>541357.01</v>
      </c>
      <c r="E758" s="2">
        <v>2580728.5099999998</v>
      </c>
      <c r="F758" s="2">
        <v>2597276.96</v>
      </c>
      <c r="G758">
        <v>0</v>
      </c>
    </row>
    <row r="759" spans="1:7" x14ac:dyDescent="0.25">
      <c r="A759" s="1">
        <v>44986</v>
      </c>
      <c r="B759" t="s">
        <v>7</v>
      </c>
      <c r="C759" t="s">
        <v>94</v>
      </c>
      <c r="D759" s="2">
        <v>33000000</v>
      </c>
      <c r="E759" s="2">
        <v>2631833.67</v>
      </c>
      <c r="F759" s="2">
        <v>2631833.67</v>
      </c>
      <c r="G759">
        <v>0</v>
      </c>
    </row>
    <row r="760" spans="1:7" x14ac:dyDescent="0.25">
      <c r="A760" s="1">
        <v>44986</v>
      </c>
      <c r="B760" t="s">
        <v>65</v>
      </c>
      <c r="C760" t="s">
        <v>72</v>
      </c>
      <c r="D760" s="2">
        <v>7939778799.5699997</v>
      </c>
      <c r="E760" s="2">
        <v>7929284380.0500002</v>
      </c>
      <c r="F760" s="2">
        <v>7934760740.3500004</v>
      </c>
      <c r="G760" s="2">
        <v>22232836.600000001</v>
      </c>
    </row>
    <row r="761" spans="1:7" x14ac:dyDescent="0.25">
      <c r="A761" s="1">
        <v>44986</v>
      </c>
      <c r="B761" t="s">
        <v>23</v>
      </c>
      <c r="C761" t="s">
        <v>96</v>
      </c>
      <c r="D761" s="2">
        <v>3621764.58</v>
      </c>
      <c r="E761" s="2">
        <v>65099875.149999999</v>
      </c>
      <c r="F761" s="2">
        <v>64071658.920000002</v>
      </c>
      <c r="G761" s="2">
        <v>948516.56</v>
      </c>
    </row>
    <row r="762" spans="1:7" x14ac:dyDescent="0.25">
      <c r="A762" s="1">
        <v>44986</v>
      </c>
      <c r="B762" t="s">
        <v>28</v>
      </c>
      <c r="C762" t="s">
        <v>14</v>
      </c>
      <c r="D762" s="2">
        <v>-9976108.5800000001</v>
      </c>
      <c r="E762">
        <v>0</v>
      </c>
      <c r="F762" s="2">
        <v>3454572.25</v>
      </c>
      <c r="G762" s="2">
        <v>79910549.549999997</v>
      </c>
    </row>
    <row r="763" spans="1:7" x14ac:dyDescent="0.25">
      <c r="A763" s="1">
        <v>44986</v>
      </c>
      <c r="B763" t="s">
        <v>33</v>
      </c>
      <c r="C763" t="s">
        <v>99</v>
      </c>
      <c r="D763" s="2">
        <v>37043968.520000003</v>
      </c>
      <c r="E763" s="2">
        <v>7210078.9100000001</v>
      </c>
      <c r="F763" s="2">
        <v>7413828.1399999997</v>
      </c>
      <c r="G763" s="2">
        <v>14999804.73</v>
      </c>
    </row>
    <row r="764" spans="1:7" x14ac:dyDescent="0.25">
      <c r="A764" s="1">
        <v>44986</v>
      </c>
      <c r="B764" t="s">
        <v>52</v>
      </c>
      <c r="C764" t="s">
        <v>78</v>
      </c>
      <c r="D764">
        <v>0</v>
      </c>
      <c r="E764">
        <v>0</v>
      </c>
      <c r="F764">
        <v>0</v>
      </c>
      <c r="G764" s="2">
        <v>4961890.0199999996</v>
      </c>
    </row>
    <row r="765" spans="1:7" x14ac:dyDescent="0.25">
      <c r="A765" s="1">
        <v>44986</v>
      </c>
      <c r="B765" t="s">
        <v>11</v>
      </c>
      <c r="C765" t="s">
        <v>72</v>
      </c>
      <c r="D765" s="2">
        <v>70837119.489999995</v>
      </c>
      <c r="E765" s="2">
        <v>55275079.259999998</v>
      </c>
      <c r="F765" s="2">
        <v>55259916.130000003</v>
      </c>
      <c r="G765">
        <v>0</v>
      </c>
    </row>
    <row r="766" spans="1:7" x14ac:dyDescent="0.25">
      <c r="A766" s="1">
        <v>44986</v>
      </c>
      <c r="B766" t="s">
        <v>23</v>
      </c>
      <c r="C766" t="s">
        <v>14</v>
      </c>
      <c r="D766" s="2">
        <v>23684159.850000001</v>
      </c>
      <c r="E766" s="2">
        <v>8613787.5500000007</v>
      </c>
      <c r="F766" s="2">
        <v>5690316.8099999996</v>
      </c>
      <c r="G766" s="2">
        <v>16175485.16</v>
      </c>
    </row>
    <row r="767" spans="1:7" x14ac:dyDescent="0.25">
      <c r="A767" s="1">
        <v>44986</v>
      </c>
      <c r="B767" t="s">
        <v>7</v>
      </c>
      <c r="C767" t="s">
        <v>8</v>
      </c>
      <c r="D767">
        <v>0</v>
      </c>
      <c r="E767">
        <v>0</v>
      </c>
      <c r="F767">
        <v>0</v>
      </c>
      <c r="G767" s="2">
        <v>9823623.9800000004</v>
      </c>
    </row>
    <row r="768" spans="1:7" x14ac:dyDescent="0.25">
      <c r="A768" s="1">
        <v>44986</v>
      </c>
      <c r="B768" t="s">
        <v>36</v>
      </c>
      <c r="C768" t="s">
        <v>49</v>
      </c>
      <c r="D768" s="2">
        <v>33699060.109999999</v>
      </c>
      <c r="E768" s="2">
        <v>33699060.109999999</v>
      </c>
      <c r="F768" s="2">
        <v>33699060.109999999</v>
      </c>
      <c r="G768" s="2">
        <v>36014821.399999999</v>
      </c>
    </row>
    <row r="769" spans="1:7" x14ac:dyDescent="0.25">
      <c r="A769" s="1">
        <v>44986</v>
      </c>
      <c r="B769" t="s">
        <v>17</v>
      </c>
      <c r="C769" t="s">
        <v>126</v>
      </c>
      <c r="D769" s="2">
        <v>4600272.47</v>
      </c>
      <c r="E769" s="2">
        <v>7242103.0300000003</v>
      </c>
      <c r="F769" s="2">
        <v>239239.59</v>
      </c>
      <c r="G769" s="2">
        <v>236152.36</v>
      </c>
    </row>
    <row r="770" spans="1:7" x14ac:dyDescent="0.25">
      <c r="A770" s="1">
        <v>44986</v>
      </c>
      <c r="B770" t="s">
        <v>23</v>
      </c>
      <c r="C770" t="s">
        <v>75</v>
      </c>
      <c r="D770" s="2">
        <v>-1214162.8500000001</v>
      </c>
      <c r="E770" s="2">
        <v>1163410.28</v>
      </c>
      <c r="F770" s="2">
        <v>1164265.98</v>
      </c>
      <c r="G770" s="2">
        <v>9554.36</v>
      </c>
    </row>
    <row r="771" spans="1:7" x14ac:dyDescent="0.25">
      <c r="A771" s="1">
        <v>44986</v>
      </c>
      <c r="B771" t="s">
        <v>41</v>
      </c>
      <c r="C771" t="s">
        <v>57</v>
      </c>
      <c r="D771" s="2">
        <v>108755.46</v>
      </c>
      <c r="E771" s="2">
        <v>108755.46</v>
      </c>
      <c r="F771" s="2">
        <v>8755.4599999999991</v>
      </c>
      <c r="G771" s="2">
        <v>333481.73</v>
      </c>
    </row>
    <row r="772" spans="1:7" x14ac:dyDescent="0.25">
      <c r="A772" s="1">
        <v>44986</v>
      </c>
      <c r="B772" t="s">
        <v>43</v>
      </c>
      <c r="C772" t="s">
        <v>14</v>
      </c>
      <c r="D772" s="2">
        <v>-1183065.26</v>
      </c>
      <c r="E772" s="2">
        <v>2250607.58</v>
      </c>
      <c r="F772" s="2">
        <v>1642571.88</v>
      </c>
      <c r="G772" s="2">
        <v>478545.83</v>
      </c>
    </row>
    <row r="773" spans="1:7" x14ac:dyDescent="0.25">
      <c r="A773" s="1">
        <v>44986</v>
      </c>
      <c r="B773" t="s">
        <v>47</v>
      </c>
      <c r="C773" t="s">
        <v>14</v>
      </c>
      <c r="D773">
        <v>0</v>
      </c>
      <c r="E773">
        <v>0</v>
      </c>
      <c r="F773">
        <v>0</v>
      </c>
      <c r="G773" s="2">
        <v>500000</v>
      </c>
    </row>
    <row r="774" spans="1:7" x14ac:dyDescent="0.25">
      <c r="A774" s="1">
        <v>44986</v>
      </c>
      <c r="B774" t="s">
        <v>36</v>
      </c>
      <c r="C774" t="s">
        <v>101</v>
      </c>
      <c r="D774" s="2">
        <v>381061795.25</v>
      </c>
      <c r="E774" s="2">
        <v>14318580848.370001</v>
      </c>
      <c r="F774" s="2">
        <v>14320330499.26</v>
      </c>
      <c r="G774" s="2">
        <v>72645302.739999995</v>
      </c>
    </row>
    <row r="775" spans="1:7" x14ac:dyDescent="0.25">
      <c r="A775" s="1">
        <v>44986</v>
      </c>
      <c r="B775" t="s">
        <v>43</v>
      </c>
      <c r="C775" t="s">
        <v>25</v>
      </c>
      <c r="D775" s="2">
        <v>959892.49</v>
      </c>
      <c r="E775" s="2">
        <v>706698.45</v>
      </c>
      <c r="F775" s="2">
        <v>707450.59</v>
      </c>
      <c r="G775" s="2">
        <v>15929</v>
      </c>
    </row>
    <row r="776" spans="1:7" x14ac:dyDescent="0.25">
      <c r="A776" s="1">
        <v>44986</v>
      </c>
      <c r="B776" t="s">
        <v>91</v>
      </c>
      <c r="C776" t="s">
        <v>98</v>
      </c>
      <c r="D776" s="2">
        <v>17781502</v>
      </c>
      <c r="E776" s="2">
        <v>437852.31</v>
      </c>
      <c r="F776">
        <v>0</v>
      </c>
      <c r="G776" s="2">
        <v>3509492</v>
      </c>
    </row>
    <row r="777" spans="1:7" x14ac:dyDescent="0.25">
      <c r="A777" s="1">
        <v>44986</v>
      </c>
      <c r="B777" t="s">
        <v>54</v>
      </c>
      <c r="C777" t="s">
        <v>22</v>
      </c>
      <c r="D777" s="2">
        <v>6431568.7699999996</v>
      </c>
      <c r="E777" s="2">
        <v>18721689.09</v>
      </c>
      <c r="F777" s="2">
        <v>18740217.41</v>
      </c>
      <c r="G777">
        <v>0</v>
      </c>
    </row>
    <row r="778" spans="1:7" x14ac:dyDescent="0.25">
      <c r="A778" s="1">
        <v>44986</v>
      </c>
      <c r="B778" t="s">
        <v>26</v>
      </c>
      <c r="C778" t="s">
        <v>68</v>
      </c>
      <c r="D778" s="2">
        <v>1127568.99</v>
      </c>
      <c r="E778" s="2">
        <v>913546.55</v>
      </c>
      <c r="F778" s="2">
        <v>8140.94</v>
      </c>
      <c r="G778" s="2">
        <v>320017.03000000003</v>
      </c>
    </row>
    <row r="779" spans="1:7" x14ac:dyDescent="0.25">
      <c r="A779" s="1">
        <v>44986</v>
      </c>
      <c r="B779" t="s">
        <v>23</v>
      </c>
      <c r="C779" t="s">
        <v>103</v>
      </c>
      <c r="D779" s="2">
        <v>14060552.49</v>
      </c>
      <c r="E779" s="2">
        <v>8319717.79</v>
      </c>
      <c r="F779" s="2">
        <v>12192839.699999999</v>
      </c>
      <c r="G779" s="2">
        <v>12883115.83</v>
      </c>
    </row>
    <row r="780" spans="1:7" x14ac:dyDescent="0.25">
      <c r="A780" s="1">
        <v>44986</v>
      </c>
      <c r="B780" t="s">
        <v>54</v>
      </c>
      <c r="C780" t="s">
        <v>102</v>
      </c>
      <c r="D780" s="2">
        <v>1561694.49</v>
      </c>
      <c r="E780" s="2">
        <v>2523542.6800000002</v>
      </c>
      <c r="F780" s="2">
        <v>2416286.5499999998</v>
      </c>
      <c r="G780" s="2">
        <v>1638673.97</v>
      </c>
    </row>
    <row r="781" spans="1:7" x14ac:dyDescent="0.25">
      <c r="A781" s="1">
        <v>44986</v>
      </c>
      <c r="B781" t="s">
        <v>91</v>
      </c>
      <c r="C781" t="s">
        <v>72</v>
      </c>
      <c r="D781" s="2">
        <v>3552688.72</v>
      </c>
      <c r="E781" s="2">
        <v>6934301.7800000003</v>
      </c>
      <c r="F781" s="2">
        <v>6880641.5300000003</v>
      </c>
      <c r="G781">
        <v>0</v>
      </c>
    </row>
    <row r="782" spans="1:7" x14ac:dyDescent="0.25">
      <c r="A782" s="1">
        <v>44986</v>
      </c>
      <c r="B782" t="s">
        <v>7</v>
      </c>
      <c r="C782" t="s">
        <v>55</v>
      </c>
      <c r="D782" s="2">
        <v>51626402.340000004</v>
      </c>
      <c r="E782" s="2">
        <v>56112930.25</v>
      </c>
      <c r="F782" s="2">
        <v>56081573.020000003</v>
      </c>
      <c r="G782" s="2">
        <v>40050667.640000001</v>
      </c>
    </row>
    <row r="783" spans="1:7" x14ac:dyDescent="0.25">
      <c r="A783" s="1">
        <v>44986</v>
      </c>
      <c r="B783" t="s">
        <v>33</v>
      </c>
      <c r="C783" t="s">
        <v>100</v>
      </c>
      <c r="D783" s="2">
        <v>-306454.87</v>
      </c>
      <c r="E783" s="2">
        <v>35840.339999999997</v>
      </c>
      <c r="F783" s="2">
        <v>58632.66</v>
      </c>
      <c r="G783" s="2">
        <v>3584.4</v>
      </c>
    </row>
    <row r="784" spans="1:7" x14ac:dyDescent="0.25">
      <c r="A784" s="1">
        <v>44986</v>
      </c>
      <c r="B784" t="s">
        <v>17</v>
      </c>
      <c r="C784" t="s">
        <v>78</v>
      </c>
      <c r="D784">
        <v>0</v>
      </c>
      <c r="E784">
        <v>0</v>
      </c>
      <c r="F784">
        <v>0</v>
      </c>
      <c r="G784" s="2">
        <v>14412788.35</v>
      </c>
    </row>
    <row r="785" spans="1:7" x14ac:dyDescent="0.25">
      <c r="A785" s="1">
        <v>44986</v>
      </c>
      <c r="B785" t="s">
        <v>9</v>
      </c>
      <c r="C785" t="s">
        <v>106</v>
      </c>
      <c r="D785" s="2">
        <v>-2547695.4700000002</v>
      </c>
      <c r="E785" s="2">
        <v>3523364.66</v>
      </c>
      <c r="F785" s="2">
        <v>3496210.64</v>
      </c>
      <c r="G785" s="2">
        <v>2764878.52</v>
      </c>
    </row>
    <row r="786" spans="1:7" x14ac:dyDescent="0.25">
      <c r="A786" s="1">
        <v>44986</v>
      </c>
      <c r="B786" t="s">
        <v>54</v>
      </c>
      <c r="C786" t="s">
        <v>79</v>
      </c>
      <c r="D786" s="2">
        <v>257639.98</v>
      </c>
      <c r="E786" s="2">
        <v>47387.67</v>
      </c>
      <c r="F786" s="2">
        <v>66212.899999999994</v>
      </c>
      <c r="G786" s="2">
        <v>124278.02</v>
      </c>
    </row>
    <row r="787" spans="1:7" x14ac:dyDescent="0.25">
      <c r="A787" s="1">
        <v>44986</v>
      </c>
      <c r="B787" t="s">
        <v>13</v>
      </c>
      <c r="C787" t="s">
        <v>75</v>
      </c>
      <c r="D787" s="2">
        <v>40000.5</v>
      </c>
      <c r="E787" s="2">
        <v>12557.85</v>
      </c>
      <c r="F787" s="2">
        <v>12557.85</v>
      </c>
      <c r="G787" s="2">
        <v>19953.419999999998</v>
      </c>
    </row>
    <row r="788" spans="1:7" x14ac:dyDescent="0.25">
      <c r="A788" s="1">
        <v>44986</v>
      </c>
      <c r="B788" t="s">
        <v>13</v>
      </c>
      <c r="C788" t="s">
        <v>59</v>
      </c>
      <c r="D788">
        <v>0</v>
      </c>
      <c r="E788">
        <v>0</v>
      </c>
      <c r="F788">
        <v>0</v>
      </c>
      <c r="G788" s="2">
        <v>64649.42</v>
      </c>
    </row>
    <row r="789" spans="1:7" x14ac:dyDescent="0.25">
      <c r="A789" s="1">
        <v>44986</v>
      </c>
      <c r="B789" t="s">
        <v>91</v>
      </c>
      <c r="C789" t="s">
        <v>78</v>
      </c>
      <c r="D789">
        <v>0</v>
      </c>
      <c r="E789">
        <v>0</v>
      </c>
      <c r="F789">
        <v>0</v>
      </c>
      <c r="G789" s="2">
        <v>-2138.83</v>
      </c>
    </row>
    <row r="790" spans="1:7" x14ac:dyDescent="0.25">
      <c r="A790" s="1">
        <v>44986</v>
      </c>
      <c r="B790" t="s">
        <v>52</v>
      </c>
      <c r="C790" t="s">
        <v>12</v>
      </c>
      <c r="D790" s="2">
        <v>89226.04</v>
      </c>
      <c r="E790">
        <v>0</v>
      </c>
      <c r="F790">
        <v>0</v>
      </c>
      <c r="G790" s="2">
        <v>87112.37</v>
      </c>
    </row>
    <row r="791" spans="1:7" x14ac:dyDescent="0.25">
      <c r="A791" s="1">
        <v>44986</v>
      </c>
      <c r="B791" t="s">
        <v>62</v>
      </c>
      <c r="C791" t="s">
        <v>64</v>
      </c>
      <c r="D791" s="2">
        <v>505913.26</v>
      </c>
      <c r="E791" s="2">
        <v>68513.350000000006</v>
      </c>
      <c r="F791" s="2">
        <v>98340.79</v>
      </c>
      <c r="G791" s="2">
        <v>10788276.369999999</v>
      </c>
    </row>
    <row r="792" spans="1:7" x14ac:dyDescent="0.25">
      <c r="A792" s="1">
        <v>44986</v>
      </c>
      <c r="B792" t="s">
        <v>52</v>
      </c>
      <c r="C792" t="s">
        <v>46</v>
      </c>
      <c r="D792">
        <v>0</v>
      </c>
      <c r="E792">
        <v>0</v>
      </c>
      <c r="F792">
        <v>0</v>
      </c>
      <c r="G792" s="2">
        <v>6172991.5999999996</v>
      </c>
    </row>
    <row r="793" spans="1:7" x14ac:dyDescent="0.25">
      <c r="A793" s="1">
        <v>44986</v>
      </c>
      <c r="B793" t="s">
        <v>69</v>
      </c>
      <c r="C793" t="s">
        <v>105</v>
      </c>
      <c r="D793">
        <v>0</v>
      </c>
      <c r="E793">
        <v>0</v>
      </c>
      <c r="F793">
        <v>0</v>
      </c>
      <c r="G793" s="2">
        <v>412733.48</v>
      </c>
    </row>
    <row r="794" spans="1:7" x14ac:dyDescent="0.25">
      <c r="A794" s="1">
        <v>44986</v>
      </c>
      <c r="B794" t="s">
        <v>33</v>
      </c>
      <c r="C794" t="s">
        <v>12</v>
      </c>
      <c r="D794" s="2">
        <v>252604.35</v>
      </c>
      <c r="E794" s="2">
        <v>55674.63</v>
      </c>
      <c r="F794" s="2">
        <v>40202.61</v>
      </c>
      <c r="G794" s="2">
        <v>280602.42</v>
      </c>
    </row>
    <row r="795" spans="1:7" x14ac:dyDescent="0.25">
      <c r="A795" s="1">
        <v>44986</v>
      </c>
      <c r="B795" t="s">
        <v>15</v>
      </c>
      <c r="C795" t="s">
        <v>103</v>
      </c>
      <c r="D795" s="2">
        <v>-101853.8</v>
      </c>
      <c r="E795" s="2">
        <v>3558947.13</v>
      </c>
      <c r="F795" s="2">
        <v>5381175.7699999996</v>
      </c>
      <c r="G795" s="2">
        <v>611383.31000000006</v>
      </c>
    </row>
    <row r="796" spans="1:7" x14ac:dyDescent="0.25">
      <c r="A796" s="1">
        <v>44986</v>
      </c>
      <c r="B796" t="s">
        <v>33</v>
      </c>
      <c r="C796" t="s">
        <v>76</v>
      </c>
      <c r="D796" s="2">
        <v>18125888.32</v>
      </c>
      <c r="E796" s="2">
        <v>14991731.85</v>
      </c>
      <c r="F796" s="2">
        <v>14025442.220000001</v>
      </c>
      <c r="G796">
        <v>0</v>
      </c>
    </row>
    <row r="797" spans="1:7" x14ac:dyDescent="0.25">
      <c r="A797" s="1">
        <v>44986</v>
      </c>
      <c r="B797" t="s">
        <v>54</v>
      </c>
      <c r="C797" t="s">
        <v>110</v>
      </c>
      <c r="D797" s="2">
        <v>749802.78</v>
      </c>
      <c r="E797">
        <v>0</v>
      </c>
      <c r="F797">
        <v>0</v>
      </c>
      <c r="G797" s="2">
        <v>1500</v>
      </c>
    </row>
    <row r="798" spans="1:7" x14ac:dyDescent="0.25">
      <c r="A798" s="1">
        <v>44986</v>
      </c>
      <c r="B798" t="s">
        <v>13</v>
      </c>
      <c r="C798" t="s">
        <v>55</v>
      </c>
      <c r="D798" s="2">
        <v>558567</v>
      </c>
      <c r="E798" s="2">
        <v>139298.13</v>
      </c>
      <c r="F798" s="2">
        <v>133135.29999999999</v>
      </c>
      <c r="G798" s="2">
        <v>4578367.93</v>
      </c>
    </row>
    <row r="799" spans="1:7" x14ac:dyDescent="0.25">
      <c r="A799" s="1">
        <v>44986</v>
      </c>
      <c r="B799" t="s">
        <v>54</v>
      </c>
      <c r="C799" t="s">
        <v>98</v>
      </c>
      <c r="D799" s="2">
        <v>315400</v>
      </c>
      <c r="E799" s="2">
        <v>272792</v>
      </c>
      <c r="F799" s="2">
        <v>272792</v>
      </c>
      <c r="G799" s="2">
        <v>1530124.34</v>
      </c>
    </row>
    <row r="800" spans="1:7" x14ac:dyDescent="0.25">
      <c r="A800" s="1">
        <v>44986</v>
      </c>
      <c r="B800" t="s">
        <v>33</v>
      </c>
      <c r="C800" t="s">
        <v>22</v>
      </c>
      <c r="D800" s="2">
        <v>1852051.75</v>
      </c>
      <c r="E800" s="2">
        <v>148483390.47</v>
      </c>
      <c r="F800" s="2">
        <v>234748244.11000001</v>
      </c>
      <c r="G800" s="2">
        <v>6282403.7599999998</v>
      </c>
    </row>
    <row r="801" spans="1:7" x14ac:dyDescent="0.25">
      <c r="A801" s="1">
        <v>44986</v>
      </c>
      <c r="B801" t="s">
        <v>17</v>
      </c>
      <c r="C801" t="s">
        <v>86</v>
      </c>
      <c r="D801" s="2">
        <v>403149.74</v>
      </c>
      <c r="E801" s="2">
        <v>635325.09</v>
      </c>
      <c r="F801" s="2">
        <v>571225.93999999994</v>
      </c>
      <c r="G801" s="2">
        <v>865334.56</v>
      </c>
    </row>
    <row r="802" spans="1:7" x14ac:dyDescent="0.25">
      <c r="A802" s="1">
        <v>44986</v>
      </c>
      <c r="B802" t="s">
        <v>43</v>
      </c>
      <c r="C802" t="s">
        <v>44</v>
      </c>
      <c r="D802" s="2">
        <v>295000</v>
      </c>
      <c r="E802" s="2">
        <v>2994.9</v>
      </c>
      <c r="F802" s="2">
        <v>1992.71</v>
      </c>
      <c r="G802" s="2">
        <v>179671.9</v>
      </c>
    </row>
    <row r="803" spans="1:7" x14ac:dyDescent="0.25">
      <c r="A803" s="1">
        <v>44986</v>
      </c>
      <c r="B803" t="s">
        <v>54</v>
      </c>
      <c r="C803" t="s">
        <v>108</v>
      </c>
      <c r="D803" s="2">
        <v>-175980.96</v>
      </c>
      <c r="E803" s="2">
        <v>25634.46</v>
      </c>
      <c r="F803" s="2">
        <v>25634.46</v>
      </c>
      <c r="G803" s="2">
        <v>46598.04</v>
      </c>
    </row>
    <row r="804" spans="1:7" x14ac:dyDescent="0.25">
      <c r="A804" s="1">
        <v>44986</v>
      </c>
      <c r="B804" t="s">
        <v>104</v>
      </c>
      <c r="C804" t="s">
        <v>108</v>
      </c>
      <c r="D804" s="2">
        <v>6602334.5300000003</v>
      </c>
      <c r="E804" s="2">
        <v>1876494.66</v>
      </c>
      <c r="F804" s="2">
        <v>1867355.65</v>
      </c>
      <c r="G804" s="2">
        <v>16336089.75</v>
      </c>
    </row>
    <row r="805" spans="1:7" x14ac:dyDescent="0.25">
      <c r="A805" s="1">
        <v>44986</v>
      </c>
      <c r="B805" t="s">
        <v>52</v>
      </c>
      <c r="C805" t="s">
        <v>72</v>
      </c>
      <c r="D805" s="2">
        <v>14211908.67</v>
      </c>
      <c r="E805" s="2">
        <v>7982349.7999999998</v>
      </c>
      <c r="F805" s="2">
        <v>3695137.56</v>
      </c>
      <c r="G805">
        <v>0</v>
      </c>
    </row>
    <row r="806" spans="1:7" x14ac:dyDescent="0.25">
      <c r="A806" s="1">
        <v>44986</v>
      </c>
      <c r="B806" t="s">
        <v>26</v>
      </c>
      <c r="C806" t="s">
        <v>18</v>
      </c>
      <c r="D806" s="2">
        <v>1765774.57</v>
      </c>
      <c r="E806" s="2">
        <v>597945.78</v>
      </c>
      <c r="F806" s="2">
        <v>599805.56999999995</v>
      </c>
      <c r="G806" s="2">
        <v>11093852.890000001</v>
      </c>
    </row>
    <row r="807" spans="1:7" x14ac:dyDescent="0.25">
      <c r="A807" s="1">
        <v>44986</v>
      </c>
      <c r="B807" t="s">
        <v>69</v>
      </c>
      <c r="C807" t="s">
        <v>20</v>
      </c>
      <c r="D807" s="2">
        <v>4666989.29</v>
      </c>
      <c r="E807" s="2">
        <v>2722775.19</v>
      </c>
      <c r="F807" s="2">
        <v>2873287.24</v>
      </c>
      <c r="G807" s="2">
        <v>829776.4</v>
      </c>
    </row>
    <row r="808" spans="1:7" x14ac:dyDescent="0.25">
      <c r="A808" s="1">
        <v>44986</v>
      </c>
      <c r="B808" t="s">
        <v>52</v>
      </c>
      <c r="C808" t="s">
        <v>101</v>
      </c>
      <c r="D808">
        <v>0</v>
      </c>
      <c r="E808">
        <v>0</v>
      </c>
      <c r="F808">
        <v>0</v>
      </c>
      <c r="G808" s="2">
        <v>86546246.230000004</v>
      </c>
    </row>
    <row r="809" spans="1:7" x14ac:dyDescent="0.25">
      <c r="A809" s="1">
        <v>44986</v>
      </c>
      <c r="B809" t="s">
        <v>13</v>
      </c>
      <c r="C809" t="s">
        <v>78</v>
      </c>
      <c r="D809">
        <v>0</v>
      </c>
      <c r="E809">
        <v>0</v>
      </c>
      <c r="F809">
        <v>0</v>
      </c>
      <c r="G809" s="2">
        <v>422322.1</v>
      </c>
    </row>
    <row r="810" spans="1:7" x14ac:dyDescent="0.25">
      <c r="A810" s="1">
        <v>44986</v>
      </c>
      <c r="B810" t="s">
        <v>43</v>
      </c>
      <c r="C810" t="s">
        <v>112</v>
      </c>
      <c r="D810" s="2">
        <v>532485.34</v>
      </c>
      <c r="E810" s="2">
        <v>406382.57</v>
      </c>
      <c r="F810" s="2">
        <v>341756.59</v>
      </c>
      <c r="G810">
        <v>0</v>
      </c>
    </row>
    <row r="811" spans="1:7" x14ac:dyDescent="0.25">
      <c r="A811" s="1">
        <v>44986</v>
      </c>
      <c r="B811" t="s">
        <v>91</v>
      </c>
      <c r="C811" t="s">
        <v>75</v>
      </c>
      <c r="D811" s="2">
        <v>-1648351.03</v>
      </c>
      <c r="E811" s="2">
        <v>11095491.880000001</v>
      </c>
      <c r="F811" s="2">
        <v>8158284.7999999998</v>
      </c>
      <c r="G811" s="2">
        <v>2377495.37</v>
      </c>
    </row>
    <row r="812" spans="1:7" x14ac:dyDescent="0.25">
      <c r="A812" s="1">
        <v>44986</v>
      </c>
      <c r="B812" t="s">
        <v>21</v>
      </c>
      <c r="C812" t="s">
        <v>57</v>
      </c>
      <c r="D812" s="2">
        <v>-16825451.940000001</v>
      </c>
      <c r="E812" s="2">
        <v>-6049037.4199999999</v>
      </c>
      <c r="F812" s="2">
        <v>-6058909.0999999996</v>
      </c>
      <c r="G812" s="2">
        <v>2286541.29</v>
      </c>
    </row>
    <row r="813" spans="1:7" x14ac:dyDescent="0.25">
      <c r="A813" s="1">
        <v>44986</v>
      </c>
      <c r="B813" t="s">
        <v>11</v>
      </c>
      <c r="C813" t="s">
        <v>39</v>
      </c>
      <c r="D813" s="2">
        <v>1504824.11</v>
      </c>
      <c r="E813" s="2">
        <v>1059377.77</v>
      </c>
      <c r="F813" s="2">
        <v>1059377.77</v>
      </c>
      <c r="G813" s="2">
        <v>75504.56</v>
      </c>
    </row>
    <row r="814" spans="1:7" x14ac:dyDescent="0.25">
      <c r="A814" s="1">
        <v>44986</v>
      </c>
      <c r="B814" t="s">
        <v>91</v>
      </c>
      <c r="C814" t="s">
        <v>109</v>
      </c>
      <c r="D814" s="2">
        <v>108284163.03</v>
      </c>
      <c r="E814" s="2">
        <v>6637081.5</v>
      </c>
      <c r="F814" s="2">
        <v>6503171.4500000002</v>
      </c>
      <c r="G814" s="2">
        <v>14086534.779999999</v>
      </c>
    </row>
    <row r="815" spans="1:7" x14ac:dyDescent="0.25">
      <c r="A815" s="1">
        <v>44986</v>
      </c>
      <c r="B815" t="s">
        <v>33</v>
      </c>
      <c r="C815" t="s">
        <v>66</v>
      </c>
      <c r="D815" s="2">
        <v>5556213.9000000004</v>
      </c>
      <c r="E815" s="2">
        <v>3427835.45</v>
      </c>
      <c r="F815" s="2">
        <v>3262367.44</v>
      </c>
      <c r="G815" s="2">
        <v>1532099.75</v>
      </c>
    </row>
    <row r="816" spans="1:7" x14ac:dyDescent="0.25">
      <c r="A816" s="1">
        <v>44986</v>
      </c>
      <c r="B816" t="s">
        <v>33</v>
      </c>
      <c r="C816" t="s">
        <v>64</v>
      </c>
      <c r="D816" s="2">
        <v>-5986534.8399999999</v>
      </c>
      <c r="E816" s="2">
        <v>1670749.91</v>
      </c>
      <c r="F816" s="2">
        <v>1567283.93</v>
      </c>
      <c r="G816" s="2">
        <v>368277.18</v>
      </c>
    </row>
    <row r="817" spans="1:7" x14ac:dyDescent="0.25">
      <c r="A817" s="1">
        <v>44986</v>
      </c>
      <c r="B817" t="s">
        <v>54</v>
      </c>
      <c r="C817" t="s">
        <v>89</v>
      </c>
      <c r="D817">
        <v>0</v>
      </c>
      <c r="E817">
        <v>0</v>
      </c>
      <c r="F817">
        <v>0</v>
      </c>
      <c r="G817" s="2">
        <v>210883.38</v>
      </c>
    </row>
    <row r="818" spans="1:7" x14ac:dyDescent="0.25">
      <c r="A818" s="1">
        <v>44986</v>
      </c>
      <c r="B818" t="s">
        <v>65</v>
      </c>
      <c r="C818" t="s">
        <v>75</v>
      </c>
      <c r="D818" s="2">
        <v>1996010.55</v>
      </c>
      <c r="E818" s="2">
        <v>1253462.78</v>
      </c>
      <c r="F818" s="2">
        <v>1259496.73</v>
      </c>
      <c r="G818" s="2">
        <v>613288.56999999995</v>
      </c>
    </row>
    <row r="819" spans="1:7" x14ac:dyDescent="0.25">
      <c r="A819" s="1">
        <v>44986</v>
      </c>
      <c r="B819" t="s">
        <v>17</v>
      </c>
      <c r="C819" t="s">
        <v>55</v>
      </c>
      <c r="D819" s="2">
        <v>42143.3</v>
      </c>
      <c r="E819" s="2">
        <v>12276</v>
      </c>
      <c r="F819" s="2">
        <v>12276</v>
      </c>
      <c r="G819" s="2">
        <v>696215.4</v>
      </c>
    </row>
    <row r="820" spans="1:7" x14ac:dyDescent="0.25">
      <c r="A820" s="1">
        <v>44986</v>
      </c>
      <c r="B820" t="s">
        <v>37</v>
      </c>
      <c r="C820" t="s">
        <v>24</v>
      </c>
      <c r="D820" s="2">
        <v>15341244.6</v>
      </c>
      <c r="E820" s="2">
        <v>3517216.51</v>
      </c>
      <c r="F820" s="2">
        <v>3239295.14</v>
      </c>
      <c r="G820" s="2">
        <v>18263785.800000001</v>
      </c>
    </row>
    <row r="821" spans="1:7" x14ac:dyDescent="0.25">
      <c r="A821" s="1">
        <v>44986</v>
      </c>
      <c r="B821" t="s">
        <v>54</v>
      </c>
      <c r="C821" t="s">
        <v>71</v>
      </c>
      <c r="D821" s="2">
        <v>180441.76</v>
      </c>
      <c r="E821" s="2">
        <v>345148.62</v>
      </c>
      <c r="F821" s="2">
        <v>383968.87</v>
      </c>
      <c r="G821" s="2">
        <v>1343378.04</v>
      </c>
    </row>
    <row r="822" spans="1:7" x14ac:dyDescent="0.25">
      <c r="A822" s="1">
        <v>44986</v>
      </c>
      <c r="B822" t="s">
        <v>36</v>
      </c>
      <c r="C822" t="s">
        <v>70</v>
      </c>
      <c r="D822" s="2">
        <v>430000</v>
      </c>
      <c r="E822" s="2">
        <v>3218578249.8400002</v>
      </c>
      <c r="F822" s="2">
        <v>3188101168.8299999</v>
      </c>
      <c r="G822">
        <v>0</v>
      </c>
    </row>
    <row r="823" spans="1:7" x14ac:dyDescent="0.25">
      <c r="A823" s="1">
        <v>44986</v>
      </c>
      <c r="B823" t="s">
        <v>21</v>
      </c>
      <c r="C823" t="s">
        <v>84</v>
      </c>
      <c r="D823" s="2">
        <v>768732.91</v>
      </c>
      <c r="E823" s="2">
        <v>126339.49</v>
      </c>
      <c r="F823" s="2">
        <v>126339.49</v>
      </c>
      <c r="G823" s="2">
        <v>91228118.590000004</v>
      </c>
    </row>
    <row r="824" spans="1:7" x14ac:dyDescent="0.25">
      <c r="A824" s="1">
        <v>44986</v>
      </c>
      <c r="B824" t="s">
        <v>23</v>
      </c>
      <c r="C824" t="s">
        <v>121</v>
      </c>
      <c r="D824" s="2">
        <v>17433645.609999999</v>
      </c>
      <c r="E824" s="2">
        <v>3682842.12</v>
      </c>
      <c r="F824" s="2">
        <v>3274725.83</v>
      </c>
      <c r="G824" s="2">
        <v>13451627.98</v>
      </c>
    </row>
    <row r="825" spans="1:7" x14ac:dyDescent="0.25">
      <c r="A825" s="1">
        <v>44986</v>
      </c>
      <c r="B825" t="s">
        <v>43</v>
      </c>
      <c r="C825" t="s">
        <v>75</v>
      </c>
      <c r="D825" s="2">
        <v>22868549.75</v>
      </c>
      <c r="E825" s="2">
        <v>25272771.949999999</v>
      </c>
      <c r="F825" s="2">
        <v>25177006.699999999</v>
      </c>
      <c r="G825" s="2">
        <v>323381.2</v>
      </c>
    </row>
    <row r="826" spans="1:7" x14ac:dyDescent="0.25">
      <c r="A826" s="1">
        <v>44986</v>
      </c>
      <c r="B826" t="s">
        <v>62</v>
      </c>
      <c r="C826" t="s">
        <v>107</v>
      </c>
      <c r="D826" s="2">
        <v>28039470.300000001</v>
      </c>
      <c r="E826" s="2">
        <v>11359604.26</v>
      </c>
      <c r="F826" s="2">
        <v>11240492.949999999</v>
      </c>
      <c r="G826" s="2">
        <v>160203305.68000001</v>
      </c>
    </row>
    <row r="827" spans="1:7" x14ac:dyDescent="0.25">
      <c r="A827" s="1">
        <v>44986</v>
      </c>
      <c r="B827" t="s">
        <v>54</v>
      </c>
      <c r="C827" t="s">
        <v>34</v>
      </c>
      <c r="D827" s="2">
        <v>237727.17</v>
      </c>
      <c r="E827" s="2">
        <v>29872.09</v>
      </c>
      <c r="F827" s="2">
        <v>39599.519999999997</v>
      </c>
      <c r="G827" s="2">
        <v>51954</v>
      </c>
    </row>
    <row r="828" spans="1:7" x14ac:dyDescent="0.25">
      <c r="A828" s="1">
        <v>44986</v>
      </c>
      <c r="B828" t="s">
        <v>23</v>
      </c>
      <c r="C828" t="s">
        <v>55</v>
      </c>
      <c r="D828" s="2">
        <v>2273891.66</v>
      </c>
      <c r="E828" s="2">
        <v>3144128.66</v>
      </c>
      <c r="F828" s="2">
        <v>3087846.02</v>
      </c>
      <c r="G828" s="2">
        <v>3731111.77</v>
      </c>
    </row>
    <row r="829" spans="1:7" x14ac:dyDescent="0.25">
      <c r="A829" s="1">
        <v>44986</v>
      </c>
      <c r="B829" t="s">
        <v>36</v>
      </c>
      <c r="C829" t="s">
        <v>38</v>
      </c>
      <c r="D829" s="2">
        <v>1560052.42</v>
      </c>
      <c r="E829" s="2">
        <v>3998004508.1999998</v>
      </c>
      <c r="F829" s="2">
        <v>3929684077.4400001</v>
      </c>
      <c r="G829">
        <v>0</v>
      </c>
    </row>
    <row r="830" spans="1:7" x14ac:dyDescent="0.25">
      <c r="A830" s="1">
        <v>44986</v>
      </c>
      <c r="B830" t="s">
        <v>23</v>
      </c>
      <c r="C830" t="s">
        <v>59</v>
      </c>
      <c r="D830" s="2">
        <v>32594.9</v>
      </c>
      <c r="E830" s="2">
        <v>22143.35</v>
      </c>
      <c r="F830" s="2">
        <v>19291.93</v>
      </c>
      <c r="G830">
        <v>0</v>
      </c>
    </row>
    <row r="831" spans="1:7" x14ac:dyDescent="0.25">
      <c r="A831" s="1">
        <v>44986</v>
      </c>
      <c r="B831" t="s">
        <v>28</v>
      </c>
      <c r="C831" t="s">
        <v>72</v>
      </c>
      <c r="D831" s="2">
        <v>26397161.640000001</v>
      </c>
      <c r="E831" s="2">
        <v>36392289.979999997</v>
      </c>
      <c r="F831" s="2">
        <v>30270808.870000001</v>
      </c>
      <c r="G831">
        <v>0</v>
      </c>
    </row>
    <row r="832" spans="1:7" x14ac:dyDescent="0.25">
      <c r="A832" s="1">
        <v>44986</v>
      </c>
      <c r="B832" t="s">
        <v>17</v>
      </c>
      <c r="C832" t="s">
        <v>40</v>
      </c>
      <c r="D832" s="2">
        <v>4854872.9800000004</v>
      </c>
      <c r="E832" s="2">
        <v>336155968.30000001</v>
      </c>
      <c r="F832" s="2">
        <v>335609998.91000003</v>
      </c>
      <c r="G832" s="2">
        <v>88231715.709999993</v>
      </c>
    </row>
    <row r="833" spans="1:7" x14ac:dyDescent="0.25">
      <c r="A833" s="1">
        <v>44986</v>
      </c>
      <c r="B833" t="s">
        <v>43</v>
      </c>
      <c r="C833" t="s">
        <v>12</v>
      </c>
      <c r="D833" s="2">
        <v>154245.65</v>
      </c>
      <c r="E833" s="2">
        <v>187187.21</v>
      </c>
      <c r="F833" s="2">
        <v>161830.12</v>
      </c>
      <c r="G833" s="2">
        <v>2218.12</v>
      </c>
    </row>
    <row r="834" spans="1:7" x14ac:dyDescent="0.25">
      <c r="A834" s="1">
        <v>44986</v>
      </c>
      <c r="B834" t="s">
        <v>104</v>
      </c>
      <c r="C834" t="s">
        <v>74</v>
      </c>
      <c r="D834" s="2">
        <v>-2096959.09</v>
      </c>
      <c r="E834">
        <v>0</v>
      </c>
      <c r="F834">
        <v>0</v>
      </c>
      <c r="G834" s="2">
        <v>2039969.53</v>
      </c>
    </row>
    <row r="835" spans="1:7" x14ac:dyDescent="0.25">
      <c r="A835" s="1">
        <v>44986</v>
      </c>
      <c r="B835" t="s">
        <v>47</v>
      </c>
      <c r="C835" t="s">
        <v>57</v>
      </c>
      <c r="D835" s="2">
        <v>-242131920.87</v>
      </c>
      <c r="E835" s="2">
        <v>21723711.109999999</v>
      </c>
      <c r="F835" s="2">
        <v>25363496.920000002</v>
      </c>
      <c r="G835" s="2">
        <v>13261872.720000001</v>
      </c>
    </row>
    <row r="836" spans="1:7" x14ac:dyDescent="0.25">
      <c r="A836" s="1">
        <v>44986</v>
      </c>
      <c r="B836" t="s">
        <v>69</v>
      </c>
      <c r="C836" t="s">
        <v>75</v>
      </c>
      <c r="D836" s="2">
        <v>27989230.809999999</v>
      </c>
      <c r="E836" s="2">
        <v>16448848.41</v>
      </c>
      <c r="F836" s="2">
        <v>18670054.989999998</v>
      </c>
      <c r="G836" s="2">
        <v>3409352.71</v>
      </c>
    </row>
    <row r="837" spans="1:7" x14ac:dyDescent="0.25">
      <c r="A837" s="1">
        <v>44986</v>
      </c>
      <c r="B837" t="s">
        <v>54</v>
      </c>
      <c r="C837" t="s">
        <v>101</v>
      </c>
      <c r="D837" s="2">
        <v>352419.6</v>
      </c>
      <c r="E837" s="2">
        <v>160276.12</v>
      </c>
      <c r="F837" s="2">
        <v>160276.12</v>
      </c>
      <c r="G837" s="2">
        <v>86467715.120000005</v>
      </c>
    </row>
    <row r="838" spans="1:7" x14ac:dyDescent="0.25">
      <c r="A838" s="1">
        <v>44986</v>
      </c>
      <c r="B838" t="s">
        <v>7</v>
      </c>
      <c r="C838" t="s">
        <v>57</v>
      </c>
      <c r="D838" s="2">
        <v>86140537.390000001</v>
      </c>
      <c r="E838" s="2">
        <v>82273435.560000002</v>
      </c>
      <c r="F838" s="2">
        <v>81580166.209999993</v>
      </c>
      <c r="G838" s="2">
        <v>20716678.059999999</v>
      </c>
    </row>
    <row r="839" spans="1:7" x14ac:dyDescent="0.25">
      <c r="A839" s="1">
        <v>44986</v>
      </c>
      <c r="B839" t="s">
        <v>33</v>
      </c>
      <c r="C839" t="s">
        <v>119</v>
      </c>
      <c r="D839" s="2">
        <v>1763872.42</v>
      </c>
      <c r="E839" s="2">
        <v>3994729.87</v>
      </c>
      <c r="F839" s="2">
        <v>4005464.62</v>
      </c>
      <c r="G839" s="2">
        <v>267813.06</v>
      </c>
    </row>
    <row r="840" spans="1:7" x14ac:dyDescent="0.25">
      <c r="A840" s="1">
        <v>44986</v>
      </c>
      <c r="B840" t="s">
        <v>13</v>
      </c>
      <c r="C840" t="s">
        <v>67</v>
      </c>
      <c r="D840" s="2">
        <v>2922175.52</v>
      </c>
      <c r="E840" s="2">
        <v>5421468.7999999998</v>
      </c>
      <c r="F840" s="2">
        <v>4114592.07</v>
      </c>
      <c r="G840" s="2">
        <v>9589177.9199999999</v>
      </c>
    </row>
    <row r="841" spans="1:7" x14ac:dyDescent="0.25">
      <c r="A841" s="1">
        <v>44986</v>
      </c>
      <c r="B841" t="s">
        <v>28</v>
      </c>
      <c r="C841" t="s">
        <v>57</v>
      </c>
      <c r="D841" s="2">
        <v>396308330.93000001</v>
      </c>
      <c r="E841" s="2">
        <v>207068117.88</v>
      </c>
      <c r="F841" s="2">
        <v>202634949.53</v>
      </c>
      <c r="G841" s="2">
        <v>7612392.8899999997</v>
      </c>
    </row>
    <row r="842" spans="1:7" x14ac:dyDescent="0.25">
      <c r="A842" s="1">
        <v>44986</v>
      </c>
      <c r="B842" t="s">
        <v>7</v>
      </c>
      <c r="C842" t="s">
        <v>22</v>
      </c>
      <c r="D842" s="2">
        <v>147287292.44999999</v>
      </c>
      <c r="E842" s="2">
        <v>617889610.21000004</v>
      </c>
      <c r="F842" s="2">
        <v>618026560.91999996</v>
      </c>
      <c r="G842" s="2">
        <v>7110.46</v>
      </c>
    </row>
    <row r="843" spans="1:7" x14ac:dyDescent="0.25">
      <c r="A843" s="1">
        <v>44986</v>
      </c>
      <c r="B843" t="s">
        <v>91</v>
      </c>
      <c r="C843" t="s">
        <v>111</v>
      </c>
      <c r="D843" s="2">
        <v>100187155.61</v>
      </c>
      <c r="E843" s="2">
        <v>241127.7</v>
      </c>
      <c r="F843" s="2">
        <v>220350.34</v>
      </c>
      <c r="G843" s="2">
        <v>16028399.66</v>
      </c>
    </row>
    <row r="844" spans="1:7" x14ac:dyDescent="0.25">
      <c r="A844" s="1">
        <v>44986</v>
      </c>
      <c r="B844" t="s">
        <v>13</v>
      </c>
      <c r="C844" t="s">
        <v>57</v>
      </c>
      <c r="D844" s="2">
        <v>29945032.989999998</v>
      </c>
      <c r="E844" s="2">
        <v>117249275.95999999</v>
      </c>
      <c r="F844" s="2">
        <v>114417309.04000001</v>
      </c>
      <c r="G844" s="2">
        <v>18606921.77</v>
      </c>
    </row>
    <row r="845" spans="1:7" x14ac:dyDescent="0.25">
      <c r="A845" s="1">
        <v>44986</v>
      </c>
      <c r="B845" t="s">
        <v>54</v>
      </c>
      <c r="C845" t="s">
        <v>100</v>
      </c>
      <c r="D845" s="2">
        <v>1743554.85</v>
      </c>
      <c r="E845" s="2">
        <v>282336.21999999997</v>
      </c>
      <c r="F845" s="2">
        <v>291225.65000000002</v>
      </c>
      <c r="G845" s="2">
        <v>1706933.66</v>
      </c>
    </row>
    <row r="846" spans="1:7" x14ac:dyDescent="0.25">
      <c r="A846" s="1">
        <v>44986</v>
      </c>
      <c r="B846" t="s">
        <v>23</v>
      </c>
      <c r="C846" t="s">
        <v>117</v>
      </c>
      <c r="D846" s="2">
        <v>96406199.040000007</v>
      </c>
      <c r="E846" s="2">
        <v>222539502.18000001</v>
      </c>
      <c r="F846" s="2">
        <v>215189281.28999999</v>
      </c>
      <c r="G846" s="2">
        <v>9560160.2100000009</v>
      </c>
    </row>
    <row r="847" spans="1:7" x14ac:dyDescent="0.25">
      <c r="A847" s="1">
        <v>44986</v>
      </c>
      <c r="B847" t="s">
        <v>23</v>
      </c>
      <c r="C847" t="s">
        <v>110</v>
      </c>
      <c r="D847" s="2">
        <v>2056094887.6500001</v>
      </c>
      <c r="E847" s="2">
        <v>1751140893.1500001</v>
      </c>
      <c r="F847" s="2">
        <v>1374295797.46</v>
      </c>
      <c r="G847" s="2">
        <v>755756500.11000001</v>
      </c>
    </row>
    <row r="848" spans="1:7" x14ac:dyDescent="0.25">
      <c r="A848" s="1">
        <v>44986</v>
      </c>
      <c r="B848" t="s">
        <v>26</v>
      </c>
      <c r="C848" t="s">
        <v>57</v>
      </c>
      <c r="D848" s="2">
        <v>2038698.08</v>
      </c>
      <c r="E848" s="2">
        <v>87250402.140000001</v>
      </c>
      <c r="F848" s="2">
        <v>98604432.209999993</v>
      </c>
      <c r="G848" s="2">
        <v>6971676.7199999997</v>
      </c>
    </row>
    <row r="849" spans="1:7" x14ac:dyDescent="0.25">
      <c r="A849" s="1">
        <v>44986</v>
      </c>
      <c r="B849" t="s">
        <v>37</v>
      </c>
      <c r="C849" t="s">
        <v>72</v>
      </c>
      <c r="D849" s="2">
        <v>36669.5</v>
      </c>
      <c r="E849" s="2">
        <v>1450236.22</v>
      </c>
      <c r="F849" s="2">
        <v>1241904.05</v>
      </c>
      <c r="G849">
        <v>0</v>
      </c>
    </row>
    <row r="850" spans="1:7" x14ac:dyDescent="0.25">
      <c r="A850" s="1">
        <v>44986</v>
      </c>
      <c r="B850" t="s">
        <v>15</v>
      </c>
      <c r="C850" t="s">
        <v>57</v>
      </c>
      <c r="D850" s="2">
        <v>12239873.060000001</v>
      </c>
      <c r="E850" s="2">
        <v>58333652.25</v>
      </c>
      <c r="F850" s="2">
        <v>54482860.590000004</v>
      </c>
      <c r="G850" s="2">
        <v>4404364.29</v>
      </c>
    </row>
    <row r="851" spans="1:7" x14ac:dyDescent="0.25">
      <c r="A851" s="1">
        <v>44986</v>
      </c>
      <c r="B851" t="s">
        <v>17</v>
      </c>
      <c r="C851" t="s">
        <v>72</v>
      </c>
      <c r="D851" s="2">
        <v>57041506.369999997</v>
      </c>
      <c r="E851" s="2">
        <v>13095507.050000001</v>
      </c>
      <c r="F851" s="2">
        <v>7290883.9100000001</v>
      </c>
      <c r="G851">
        <v>0</v>
      </c>
    </row>
    <row r="852" spans="1:7" x14ac:dyDescent="0.25">
      <c r="A852" s="1">
        <v>44986</v>
      </c>
      <c r="B852" t="s">
        <v>9</v>
      </c>
      <c r="C852" t="s">
        <v>72</v>
      </c>
      <c r="D852" s="2">
        <v>13803333.279999999</v>
      </c>
      <c r="E852" s="2">
        <v>29785452.559999999</v>
      </c>
      <c r="F852" s="2">
        <v>29553876.059999999</v>
      </c>
      <c r="G852">
        <v>0</v>
      </c>
    </row>
    <row r="853" spans="1:7" x14ac:dyDescent="0.25">
      <c r="A853" s="1">
        <v>44986</v>
      </c>
      <c r="B853" t="s">
        <v>91</v>
      </c>
      <c r="C853" t="s">
        <v>114</v>
      </c>
      <c r="D853" s="2">
        <v>668619392.52999997</v>
      </c>
      <c r="E853" s="2">
        <v>165262544.34</v>
      </c>
      <c r="F853" s="2">
        <v>158060762.19999999</v>
      </c>
      <c r="G853" s="2">
        <v>675638254.63999999</v>
      </c>
    </row>
    <row r="854" spans="1:7" x14ac:dyDescent="0.25">
      <c r="A854" s="1">
        <v>44986</v>
      </c>
      <c r="B854" t="s">
        <v>91</v>
      </c>
      <c r="C854" t="s">
        <v>57</v>
      </c>
      <c r="D854" s="2">
        <v>90961083.769999996</v>
      </c>
      <c r="E854" s="2">
        <v>144460514.61000001</v>
      </c>
      <c r="F854" s="2">
        <v>135688914.83000001</v>
      </c>
      <c r="G854" s="2">
        <v>26246001.66</v>
      </c>
    </row>
    <row r="855" spans="1:7" x14ac:dyDescent="0.25">
      <c r="A855" s="1">
        <v>44986</v>
      </c>
      <c r="B855" t="s">
        <v>36</v>
      </c>
      <c r="C855" t="s">
        <v>57</v>
      </c>
      <c r="D855" s="2">
        <v>5852887.2000000002</v>
      </c>
      <c r="E855" s="2">
        <v>122317.75999999999</v>
      </c>
      <c r="F855" s="2">
        <v>122317.75999999999</v>
      </c>
      <c r="G855" s="2">
        <v>3190520.83</v>
      </c>
    </row>
    <row r="856" spans="1:7" x14ac:dyDescent="0.25">
      <c r="A856" s="1">
        <v>44986</v>
      </c>
      <c r="B856" t="s">
        <v>15</v>
      </c>
      <c r="C856" t="s">
        <v>75</v>
      </c>
      <c r="D856" s="2">
        <v>3241167.76</v>
      </c>
      <c r="E856" s="2">
        <v>3422984.16</v>
      </c>
      <c r="F856" s="2">
        <v>2751055.77</v>
      </c>
      <c r="G856" s="2">
        <v>3690041.8</v>
      </c>
    </row>
    <row r="857" spans="1:7" x14ac:dyDescent="0.25">
      <c r="A857" s="1">
        <v>44986</v>
      </c>
      <c r="B857" t="s">
        <v>23</v>
      </c>
      <c r="C857" t="s">
        <v>72</v>
      </c>
      <c r="D857" s="2">
        <v>-9770987.3699999992</v>
      </c>
      <c r="E857" s="2">
        <v>51506206.399999999</v>
      </c>
      <c r="F857" s="2">
        <v>54403937.600000001</v>
      </c>
      <c r="G857">
        <v>0</v>
      </c>
    </row>
    <row r="858" spans="1:7" x14ac:dyDescent="0.25">
      <c r="A858" s="1">
        <v>44986</v>
      </c>
      <c r="B858" t="s">
        <v>7</v>
      </c>
      <c r="C858" t="s">
        <v>123</v>
      </c>
      <c r="D858" s="2">
        <v>-2389191.48</v>
      </c>
      <c r="E858" s="2">
        <v>2866598.04</v>
      </c>
      <c r="F858" s="2">
        <v>2255201.31</v>
      </c>
      <c r="G858" s="2">
        <v>1821028.68</v>
      </c>
    </row>
    <row r="859" spans="1:7" x14ac:dyDescent="0.25">
      <c r="A859" s="1">
        <v>44986</v>
      </c>
      <c r="B859" t="s">
        <v>23</v>
      </c>
      <c r="C859" t="s">
        <v>12</v>
      </c>
      <c r="D859" s="2">
        <v>159098120.44999999</v>
      </c>
      <c r="E859" s="2">
        <v>131141462.20999999</v>
      </c>
      <c r="F859" s="2">
        <v>128660478.2</v>
      </c>
      <c r="G859" s="2">
        <v>10748325.42</v>
      </c>
    </row>
    <row r="860" spans="1:7" x14ac:dyDescent="0.25">
      <c r="A860" s="1">
        <v>44986</v>
      </c>
      <c r="B860" t="s">
        <v>33</v>
      </c>
      <c r="C860" t="s">
        <v>72</v>
      </c>
      <c r="D860" s="2">
        <v>13855578.16</v>
      </c>
      <c r="E860" s="2">
        <v>72203136.870000005</v>
      </c>
      <c r="F860" s="2">
        <v>72559099.140000001</v>
      </c>
      <c r="G860">
        <v>0</v>
      </c>
    </row>
    <row r="861" spans="1:7" x14ac:dyDescent="0.25">
      <c r="A861" s="1">
        <v>44986</v>
      </c>
      <c r="B861" t="s">
        <v>13</v>
      </c>
      <c r="C861" t="s">
        <v>103</v>
      </c>
      <c r="D861" s="2">
        <v>414316943.81</v>
      </c>
      <c r="E861" s="2">
        <v>82609814.180000007</v>
      </c>
      <c r="F861" s="2">
        <v>77835941.769999996</v>
      </c>
      <c r="G861" s="2">
        <v>19412324.199999999</v>
      </c>
    </row>
    <row r="862" spans="1:7" x14ac:dyDescent="0.25">
      <c r="A862" s="1">
        <v>44986</v>
      </c>
      <c r="B862" t="s">
        <v>33</v>
      </c>
      <c r="C862" t="s">
        <v>75</v>
      </c>
      <c r="D862" s="2">
        <v>23728281.800000001</v>
      </c>
      <c r="E862" s="2">
        <v>18346536.199999999</v>
      </c>
      <c r="F862" s="2">
        <v>17339033.030000001</v>
      </c>
      <c r="G862" s="2">
        <v>38853969.170000002</v>
      </c>
    </row>
    <row r="863" spans="1:7" x14ac:dyDescent="0.25">
      <c r="A863" s="1">
        <v>44986</v>
      </c>
      <c r="B863" t="s">
        <v>17</v>
      </c>
      <c r="C863" t="s">
        <v>113</v>
      </c>
      <c r="D863" s="2">
        <v>-4019068.67</v>
      </c>
      <c r="E863" s="2">
        <v>236279468.93000001</v>
      </c>
      <c r="F863" s="2">
        <v>356623358.72000003</v>
      </c>
      <c r="G863" s="2">
        <v>402906495.75999999</v>
      </c>
    </row>
    <row r="864" spans="1:7" x14ac:dyDescent="0.25">
      <c r="A864" s="1">
        <v>44986</v>
      </c>
      <c r="B864" t="s">
        <v>54</v>
      </c>
      <c r="C864" t="s">
        <v>119</v>
      </c>
      <c r="D864" s="2">
        <v>283853.46999999997</v>
      </c>
      <c r="E864" s="2">
        <v>399069.83</v>
      </c>
      <c r="F864" s="2">
        <v>493102.75</v>
      </c>
      <c r="G864" s="2">
        <v>247864.81</v>
      </c>
    </row>
    <row r="865" spans="1:7" x14ac:dyDescent="0.25">
      <c r="A865" s="1">
        <v>44986</v>
      </c>
      <c r="B865" t="s">
        <v>23</v>
      </c>
      <c r="C865" t="s">
        <v>115</v>
      </c>
      <c r="D865" s="2">
        <v>1102998263.8099999</v>
      </c>
      <c r="E865" s="2">
        <v>1406582241.51</v>
      </c>
      <c r="F865" s="2">
        <v>1268452352.4400001</v>
      </c>
      <c r="G865" s="2">
        <v>737505001.89999998</v>
      </c>
    </row>
    <row r="866" spans="1:7" x14ac:dyDescent="0.25">
      <c r="A866" s="1">
        <v>44986</v>
      </c>
      <c r="B866" t="s">
        <v>13</v>
      </c>
      <c r="C866" t="s">
        <v>71</v>
      </c>
      <c r="D866" s="2">
        <v>90336.15</v>
      </c>
      <c r="E866" s="2">
        <v>49691.48</v>
      </c>
      <c r="F866" s="2">
        <v>49691.48</v>
      </c>
      <c r="G866" s="2">
        <v>108462.32</v>
      </c>
    </row>
    <row r="867" spans="1:7" x14ac:dyDescent="0.25">
      <c r="A867" s="1">
        <v>44986</v>
      </c>
      <c r="B867" t="s">
        <v>31</v>
      </c>
      <c r="C867" t="s">
        <v>22</v>
      </c>
      <c r="D867" s="2">
        <v>1585133171.01</v>
      </c>
      <c r="E867" s="2">
        <v>1863434626.6600001</v>
      </c>
      <c r="F867" s="2">
        <v>1819657451.76</v>
      </c>
      <c r="G867" s="2">
        <v>5709068007.5</v>
      </c>
    </row>
    <row r="868" spans="1:7" x14ac:dyDescent="0.25">
      <c r="A868" s="1">
        <v>44986</v>
      </c>
      <c r="B868" t="s">
        <v>62</v>
      </c>
      <c r="C868" t="s">
        <v>57</v>
      </c>
      <c r="D868" s="2">
        <v>37985084.689999998</v>
      </c>
      <c r="E868" s="2">
        <v>53350471.119999997</v>
      </c>
      <c r="F868" s="2">
        <v>52485959.149999999</v>
      </c>
      <c r="G868" s="2">
        <v>12552957.220000001</v>
      </c>
    </row>
    <row r="869" spans="1:7" x14ac:dyDescent="0.25">
      <c r="A869" s="1">
        <v>44986</v>
      </c>
      <c r="B869" t="s">
        <v>7</v>
      </c>
      <c r="C869" t="s">
        <v>130</v>
      </c>
      <c r="D869" s="2">
        <v>80586846.969999999</v>
      </c>
      <c r="E869" s="2">
        <v>69635788.469999999</v>
      </c>
      <c r="F869" s="2">
        <v>69253822.730000004</v>
      </c>
      <c r="G869" s="2">
        <v>88417101.209999993</v>
      </c>
    </row>
    <row r="870" spans="1:7" x14ac:dyDescent="0.25">
      <c r="A870" s="1">
        <v>44986</v>
      </c>
      <c r="B870" t="s">
        <v>69</v>
      </c>
      <c r="C870" t="s">
        <v>59</v>
      </c>
      <c r="D870" s="2">
        <v>14534151.140000001</v>
      </c>
      <c r="E870" s="2">
        <v>9539329.4800000004</v>
      </c>
      <c r="F870" s="2">
        <v>10130128.83</v>
      </c>
      <c r="G870" s="2">
        <v>4496407.29</v>
      </c>
    </row>
    <row r="871" spans="1:7" x14ac:dyDescent="0.25">
      <c r="A871" s="1">
        <v>44986</v>
      </c>
      <c r="B871" t="s">
        <v>69</v>
      </c>
      <c r="C871" t="s">
        <v>72</v>
      </c>
      <c r="D871" s="2">
        <v>2293633.29</v>
      </c>
      <c r="E871" s="2">
        <v>4215053.16</v>
      </c>
      <c r="F871" s="2">
        <v>4136033.76</v>
      </c>
      <c r="G871">
        <v>0</v>
      </c>
    </row>
    <row r="872" spans="1:7" x14ac:dyDescent="0.25">
      <c r="A872" s="1">
        <v>44986</v>
      </c>
      <c r="B872" t="s">
        <v>47</v>
      </c>
      <c r="C872" t="s">
        <v>76</v>
      </c>
      <c r="D872" s="2">
        <v>-100656796.61</v>
      </c>
      <c r="E872" s="2">
        <v>12700516.65</v>
      </c>
      <c r="F872" s="2">
        <v>6609257.9100000001</v>
      </c>
      <c r="G872" s="2">
        <v>51110266.380000003</v>
      </c>
    </row>
    <row r="873" spans="1:7" x14ac:dyDescent="0.25">
      <c r="A873" s="1">
        <v>44986</v>
      </c>
      <c r="B873" t="s">
        <v>54</v>
      </c>
      <c r="C873" t="s">
        <v>10</v>
      </c>
      <c r="D873" s="2">
        <v>4289724.21</v>
      </c>
      <c r="E873" s="2">
        <v>10381012.609999999</v>
      </c>
      <c r="F873" s="2">
        <v>10107590.34</v>
      </c>
      <c r="G873" s="2">
        <v>17788317.289999999</v>
      </c>
    </row>
    <row r="874" spans="1:7" x14ac:dyDescent="0.25">
      <c r="A874" s="1">
        <v>44986</v>
      </c>
      <c r="B874" t="s">
        <v>43</v>
      </c>
      <c r="C874" t="s">
        <v>122</v>
      </c>
      <c r="D874" s="2">
        <v>486192.77</v>
      </c>
      <c r="E874" s="2">
        <v>369746.07</v>
      </c>
      <c r="F874" s="2">
        <v>292693.12</v>
      </c>
      <c r="G874" s="2">
        <v>126825.75</v>
      </c>
    </row>
    <row r="875" spans="1:7" x14ac:dyDescent="0.25">
      <c r="A875" s="1">
        <v>44986</v>
      </c>
      <c r="B875" t="s">
        <v>7</v>
      </c>
      <c r="C875" t="s">
        <v>72</v>
      </c>
      <c r="D875" s="2">
        <v>158827845.62</v>
      </c>
      <c r="E875" s="2">
        <v>246937998.38999999</v>
      </c>
      <c r="F875" s="2">
        <v>263997243.56</v>
      </c>
      <c r="G875">
        <v>0</v>
      </c>
    </row>
    <row r="876" spans="1:7" x14ac:dyDescent="0.25">
      <c r="A876" s="1">
        <v>44986</v>
      </c>
      <c r="B876" t="s">
        <v>52</v>
      </c>
      <c r="C876" t="s">
        <v>57</v>
      </c>
      <c r="D876" s="2">
        <v>126236033.52</v>
      </c>
      <c r="E876" s="2">
        <v>61565962.390000001</v>
      </c>
      <c r="F876" s="2">
        <v>51580197.960000001</v>
      </c>
      <c r="G876" s="2">
        <v>126177.18</v>
      </c>
    </row>
    <row r="877" spans="1:7" x14ac:dyDescent="0.25">
      <c r="A877" s="1">
        <v>44986</v>
      </c>
      <c r="B877" t="s">
        <v>28</v>
      </c>
      <c r="C877" t="s">
        <v>124</v>
      </c>
      <c r="D877" s="2">
        <v>71763412.540000007</v>
      </c>
      <c r="E877" s="2">
        <v>64841173484.050003</v>
      </c>
      <c r="F877" s="2">
        <v>64625751660.519997</v>
      </c>
      <c r="G877" s="2">
        <v>128748.63</v>
      </c>
    </row>
    <row r="878" spans="1:7" x14ac:dyDescent="0.25">
      <c r="A878" s="1">
        <v>44986</v>
      </c>
      <c r="B878" t="s">
        <v>54</v>
      </c>
      <c r="C878" t="s">
        <v>116</v>
      </c>
      <c r="D878" s="2">
        <v>263265829.53</v>
      </c>
      <c r="E878" s="2">
        <v>141781833.44</v>
      </c>
      <c r="F878" s="2">
        <v>138526701.28</v>
      </c>
      <c r="G878" s="2">
        <v>147909106.18000001</v>
      </c>
    </row>
    <row r="879" spans="1:7" x14ac:dyDescent="0.25">
      <c r="A879" s="1">
        <v>44986</v>
      </c>
      <c r="B879" t="s">
        <v>43</v>
      </c>
      <c r="C879" t="s">
        <v>66</v>
      </c>
      <c r="D879" s="2">
        <v>176054.63</v>
      </c>
      <c r="E879" s="2">
        <v>182035.66</v>
      </c>
      <c r="F879" s="2">
        <v>214035.57</v>
      </c>
      <c r="G879" s="2">
        <v>252706.82</v>
      </c>
    </row>
    <row r="880" spans="1:7" x14ac:dyDescent="0.25">
      <c r="A880" s="1">
        <v>44986</v>
      </c>
      <c r="B880" t="s">
        <v>62</v>
      </c>
      <c r="C880" t="s">
        <v>72</v>
      </c>
      <c r="D880" s="2">
        <v>1570563.73</v>
      </c>
      <c r="E880" s="2">
        <v>2859052.81</v>
      </c>
      <c r="F880" s="2">
        <v>2892153.01</v>
      </c>
      <c r="G880">
        <v>0</v>
      </c>
    </row>
    <row r="881" spans="1:7" x14ac:dyDescent="0.25">
      <c r="A881" s="1">
        <v>44986</v>
      </c>
      <c r="B881" t="s">
        <v>13</v>
      </c>
      <c r="C881" t="s">
        <v>34</v>
      </c>
      <c r="D881" s="2">
        <v>216209262.37</v>
      </c>
      <c r="E881" s="2">
        <v>124579023.34999999</v>
      </c>
      <c r="F881" s="2">
        <v>97161507.390000001</v>
      </c>
      <c r="G881" s="2">
        <v>29305550.620000001</v>
      </c>
    </row>
    <row r="882" spans="1:7" x14ac:dyDescent="0.25">
      <c r="A882" s="1">
        <v>44986</v>
      </c>
      <c r="B882" t="s">
        <v>43</v>
      </c>
      <c r="C882" t="s">
        <v>57</v>
      </c>
      <c r="D882" s="2">
        <v>-8318482.54</v>
      </c>
      <c r="E882" s="2">
        <v>102895309.84</v>
      </c>
      <c r="F882" s="2">
        <v>107824096.73</v>
      </c>
      <c r="G882" s="2">
        <v>3771534.75</v>
      </c>
    </row>
    <row r="883" spans="1:7" x14ac:dyDescent="0.25">
      <c r="A883" s="1">
        <v>44986</v>
      </c>
      <c r="B883" t="s">
        <v>43</v>
      </c>
      <c r="C883" t="s">
        <v>127</v>
      </c>
      <c r="D883" s="2">
        <v>4594006.83</v>
      </c>
      <c r="E883" s="2">
        <v>2460492.83</v>
      </c>
      <c r="F883" s="2">
        <v>1399595.8</v>
      </c>
      <c r="G883" s="2">
        <v>805470.47</v>
      </c>
    </row>
    <row r="884" spans="1:7" x14ac:dyDescent="0.25">
      <c r="A884" s="1">
        <v>44986</v>
      </c>
      <c r="B884" t="s">
        <v>54</v>
      </c>
      <c r="C884" t="s">
        <v>16</v>
      </c>
      <c r="D884" s="2">
        <v>211402.65</v>
      </c>
      <c r="E884" s="2">
        <v>80734.23</v>
      </c>
      <c r="F884" s="2">
        <v>96151.56</v>
      </c>
      <c r="G884" s="2">
        <v>81488.81</v>
      </c>
    </row>
    <row r="885" spans="1:7" x14ac:dyDescent="0.25">
      <c r="A885" s="1">
        <v>44986</v>
      </c>
      <c r="B885" t="s">
        <v>17</v>
      </c>
      <c r="C885" t="s">
        <v>57</v>
      </c>
      <c r="D885" s="2">
        <v>1000343611.12</v>
      </c>
      <c r="E885" s="2">
        <v>342954774.47000003</v>
      </c>
      <c r="F885" s="2">
        <v>343121432.94</v>
      </c>
      <c r="G885" s="2">
        <v>6310179.0999999996</v>
      </c>
    </row>
    <row r="886" spans="1:7" x14ac:dyDescent="0.25">
      <c r="A886" s="1">
        <v>44986</v>
      </c>
      <c r="B886" t="s">
        <v>7</v>
      </c>
      <c r="C886" t="s">
        <v>58</v>
      </c>
      <c r="D886" s="2">
        <v>5331135.6399999997</v>
      </c>
      <c r="E886" s="2">
        <v>564875444.13999999</v>
      </c>
      <c r="F886" s="2">
        <v>564813160.50999999</v>
      </c>
      <c r="G886" s="2">
        <v>3454001.18</v>
      </c>
    </row>
    <row r="887" spans="1:7" x14ac:dyDescent="0.25">
      <c r="A887" s="1">
        <v>44986</v>
      </c>
      <c r="B887" t="s">
        <v>54</v>
      </c>
      <c r="C887" t="s">
        <v>75</v>
      </c>
      <c r="D887" s="2">
        <v>32734104.149999999</v>
      </c>
      <c r="E887" s="2">
        <v>3287425.95</v>
      </c>
      <c r="F887" s="2">
        <v>3082371.93</v>
      </c>
      <c r="G887" s="2">
        <v>12508857.609999999</v>
      </c>
    </row>
    <row r="888" spans="1:7" x14ac:dyDescent="0.25">
      <c r="A888" s="1">
        <v>44986</v>
      </c>
      <c r="B888" t="s">
        <v>54</v>
      </c>
      <c r="C888" t="s">
        <v>20</v>
      </c>
      <c r="D888" s="2">
        <v>483737.14</v>
      </c>
      <c r="E888" s="2">
        <v>1884973.07</v>
      </c>
      <c r="F888" s="2">
        <v>1694012.38</v>
      </c>
      <c r="G888" s="2">
        <v>3345614.31</v>
      </c>
    </row>
    <row r="889" spans="1:7" x14ac:dyDescent="0.25">
      <c r="A889" s="1">
        <v>44986</v>
      </c>
      <c r="B889" t="s">
        <v>47</v>
      </c>
      <c r="C889" t="s">
        <v>75</v>
      </c>
      <c r="D889" s="2">
        <v>1447685.68</v>
      </c>
      <c r="E889" s="2">
        <v>1347994.74</v>
      </c>
      <c r="F889" s="2">
        <v>1355398.11</v>
      </c>
      <c r="G889" s="2">
        <v>1601930.55</v>
      </c>
    </row>
    <row r="890" spans="1:7" x14ac:dyDescent="0.25">
      <c r="A890" s="1">
        <v>44986</v>
      </c>
      <c r="B890" t="s">
        <v>54</v>
      </c>
      <c r="C890" t="s">
        <v>95</v>
      </c>
      <c r="D890" s="2">
        <v>4390456.8899999997</v>
      </c>
      <c r="E890" s="2">
        <v>681712.81</v>
      </c>
      <c r="F890" s="2">
        <v>565628.52</v>
      </c>
      <c r="G890" s="2">
        <v>906135.9</v>
      </c>
    </row>
    <row r="891" spans="1:7" x14ac:dyDescent="0.25">
      <c r="A891" s="1">
        <v>44986</v>
      </c>
      <c r="B891" t="s">
        <v>37</v>
      </c>
      <c r="C891" t="s">
        <v>75</v>
      </c>
      <c r="D891" s="2">
        <v>5012344.8899999997</v>
      </c>
      <c r="E891" s="2">
        <v>2485876.96</v>
      </c>
      <c r="F891" s="2">
        <v>1494808.36</v>
      </c>
      <c r="G891" s="2">
        <v>2018755.66</v>
      </c>
    </row>
    <row r="892" spans="1:7" x14ac:dyDescent="0.25">
      <c r="A892" s="1">
        <v>44986</v>
      </c>
      <c r="B892" t="s">
        <v>27</v>
      </c>
      <c r="C892" t="s">
        <v>99</v>
      </c>
      <c r="D892" s="2">
        <v>29933523.059999999</v>
      </c>
      <c r="E892" s="2">
        <v>30097845.940000001</v>
      </c>
      <c r="F892" s="2">
        <v>28351676.41</v>
      </c>
      <c r="G892" s="2">
        <v>4485409.4400000004</v>
      </c>
    </row>
    <row r="893" spans="1:7" x14ac:dyDescent="0.25">
      <c r="A893" s="1">
        <v>44986</v>
      </c>
      <c r="B893" t="s">
        <v>28</v>
      </c>
      <c r="C893" t="s">
        <v>125</v>
      </c>
      <c r="D893" s="2">
        <v>4332496489.6700001</v>
      </c>
      <c r="E893" s="2">
        <v>7636653210.1300001</v>
      </c>
      <c r="F893" s="2">
        <v>7701072051.6099997</v>
      </c>
      <c r="G893" s="2">
        <v>154247.32999999999</v>
      </c>
    </row>
    <row r="894" spans="1:7" x14ac:dyDescent="0.25">
      <c r="A894" s="1">
        <v>44986</v>
      </c>
      <c r="B894" t="s">
        <v>37</v>
      </c>
      <c r="C894" t="s">
        <v>57</v>
      </c>
      <c r="D894" s="2">
        <v>-43667378.530000001</v>
      </c>
      <c r="E894" s="2">
        <v>31294962.640000001</v>
      </c>
      <c r="F894" s="2">
        <v>31366537.879999999</v>
      </c>
      <c r="G894" s="2">
        <v>2117091.69</v>
      </c>
    </row>
    <row r="895" spans="1:7" x14ac:dyDescent="0.25">
      <c r="A895" s="1">
        <v>44986</v>
      </c>
      <c r="B895" t="s">
        <v>11</v>
      </c>
      <c r="C895" t="s">
        <v>107</v>
      </c>
      <c r="D895" s="2">
        <v>5364481.51</v>
      </c>
      <c r="E895" s="2">
        <v>5349410.62</v>
      </c>
      <c r="F895" s="2">
        <v>5379957.46</v>
      </c>
      <c r="G895" s="2">
        <v>1223473.24</v>
      </c>
    </row>
    <row r="896" spans="1:7" x14ac:dyDescent="0.25">
      <c r="A896" s="1">
        <v>44986</v>
      </c>
      <c r="B896" t="s">
        <v>23</v>
      </c>
      <c r="C896" t="s">
        <v>34</v>
      </c>
      <c r="D896" s="2">
        <v>61511443.390000001</v>
      </c>
      <c r="E896" s="2">
        <v>41242902.009999998</v>
      </c>
      <c r="F896" s="2">
        <v>31991002.079999998</v>
      </c>
      <c r="G896" s="2">
        <v>81228566.879999995</v>
      </c>
    </row>
    <row r="897" spans="1:7" x14ac:dyDescent="0.25">
      <c r="A897" s="1">
        <v>44986</v>
      </c>
      <c r="B897" t="s">
        <v>43</v>
      </c>
      <c r="C897" t="s">
        <v>72</v>
      </c>
      <c r="D897" s="2">
        <v>-2814539.93</v>
      </c>
      <c r="E897" s="2">
        <v>5966847.6699999999</v>
      </c>
      <c r="F897" s="2">
        <v>5912887.5099999998</v>
      </c>
      <c r="G897">
        <v>0</v>
      </c>
    </row>
    <row r="898" spans="1:7" x14ac:dyDescent="0.25">
      <c r="A898" s="1">
        <v>44986</v>
      </c>
      <c r="B898" t="s">
        <v>54</v>
      </c>
      <c r="C898" t="s">
        <v>68</v>
      </c>
      <c r="D898" s="2">
        <v>1369918.06</v>
      </c>
      <c r="E898" s="2">
        <v>269425.09000000003</v>
      </c>
      <c r="F898" s="2">
        <v>150118.85</v>
      </c>
      <c r="G898" s="2">
        <v>2636244.31</v>
      </c>
    </row>
    <row r="899" spans="1:7" x14ac:dyDescent="0.25">
      <c r="A899" s="1">
        <v>44986</v>
      </c>
      <c r="B899" t="s">
        <v>7</v>
      </c>
      <c r="C899" t="s">
        <v>12</v>
      </c>
      <c r="D899" s="2">
        <v>3558476.84</v>
      </c>
      <c r="E899" s="2">
        <v>1381893.68</v>
      </c>
      <c r="F899" s="2">
        <v>1128424.74</v>
      </c>
      <c r="G899" s="2">
        <v>1710406.25</v>
      </c>
    </row>
    <row r="900" spans="1:7" x14ac:dyDescent="0.25">
      <c r="A900" s="1">
        <v>44986</v>
      </c>
      <c r="B900" t="s">
        <v>69</v>
      </c>
      <c r="C900" t="s">
        <v>57</v>
      </c>
      <c r="D900" s="2">
        <v>78564536.939999998</v>
      </c>
      <c r="E900" s="2">
        <v>94583972.760000005</v>
      </c>
      <c r="F900" s="2">
        <v>91744868.480000004</v>
      </c>
      <c r="G900" s="2">
        <v>3043639</v>
      </c>
    </row>
    <row r="901" spans="1:7" x14ac:dyDescent="0.25">
      <c r="A901" s="1">
        <v>44986</v>
      </c>
      <c r="B901" t="s">
        <v>23</v>
      </c>
      <c r="C901" t="s">
        <v>78</v>
      </c>
      <c r="D901" s="2">
        <v>2161289141.8200002</v>
      </c>
      <c r="E901" s="2">
        <v>2278088523.02</v>
      </c>
      <c r="F901" s="2">
        <v>2277881331.8099999</v>
      </c>
      <c r="G901" s="2">
        <v>11290739.1</v>
      </c>
    </row>
    <row r="902" spans="1:7" x14ac:dyDescent="0.25">
      <c r="A902" s="1">
        <v>44986</v>
      </c>
      <c r="B902" t="s">
        <v>9</v>
      </c>
      <c r="C902" t="s">
        <v>112</v>
      </c>
      <c r="D902" s="2">
        <v>122958926.87</v>
      </c>
      <c r="E902" s="2">
        <v>82740486.459999993</v>
      </c>
      <c r="F902" s="2">
        <v>48078743.75</v>
      </c>
      <c r="G902" s="2">
        <v>48029500.119999997</v>
      </c>
    </row>
    <row r="903" spans="1:7" x14ac:dyDescent="0.25">
      <c r="A903" s="1">
        <v>44986</v>
      </c>
      <c r="B903" t="s">
        <v>26</v>
      </c>
      <c r="C903" t="s">
        <v>72</v>
      </c>
      <c r="D903" s="2">
        <v>780853.9</v>
      </c>
      <c r="E903" s="2">
        <v>11552488.15</v>
      </c>
      <c r="F903" s="2">
        <v>11574505.49</v>
      </c>
      <c r="G903">
        <v>0</v>
      </c>
    </row>
    <row r="904" spans="1:7" x14ac:dyDescent="0.25">
      <c r="A904" s="1">
        <v>44986</v>
      </c>
      <c r="B904" t="s">
        <v>17</v>
      </c>
      <c r="C904" t="s">
        <v>75</v>
      </c>
      <c r="D904" s="2">
        <v>27243500.809999999</v>
      </c>
      <c r="E904" s="2">
        <v>10906225.539999999</v>
      </c>
      <c r="F904" s="2">
        <v>8996573.0099999998</v>
      </c>
      <c r="G904" s="2">
        <v>4997591.7</v>
      </c>
    </row>
    <row r="905" spans="1:7" x14ac:dyDescent="0.25">
      <c r="A905" s="1">
        <v>44986</v>
      </c>
      <c r="B905" t="s">
        <v>37</v>
      </c>
      <c r="C905" t="s">
        <v>117</v>
      </c>
      <c r="D905" s="2">
        <v>2128044.69</v>
      </c>
      <c r="E905" s="2">
        <v>723791.74</v>
      </c>
      <c r="F905" s="2">
        <v>644609.68000000005</v>
      </c>
      <c r="G905" s="2">
        <v>1420013.81</v>
      </c>
    </row>
    <row r="906" spans="1:7" x14ac:dyDescent="0.25">
      <c r="A906" s="1">
        <v>44986</v>
      </c>
      <c r="B906" t="s">
        <v>17</v>
      </c>
      <c r="C906" t="s">
        <v>103</v>
      </c>
      <c r="D906" s="2">
        <v>17823758.07</v>
      </c>
      <c r="E906" s="2">
        <v>11507509.359999999</v>
      </c>
      <c r="F906" s="2">
        <v>10407565.41</v>
      </c>
      <c r="G906" s="2">
        <v>19547867.239999998</v>
      </c>
    </row>
    <row r="907" spans="1:7" x14ac:dyDescent="0.25">
      <c r="A907" s="1">
        <v>44986</v>
      </c>
      <c r="B907" t="s">
        <v>65</v>
      </c>
      <c r="C907" t="s">
        <v>57</v>
      </c>
      <c r="D907" s="2">
        <v>407495324.31</v>
      </c>
      <c r="E907" s="2">
        <v>174330718.13</v>
      </c>
      <c r="F907" s="2">
        <v>172065267.31999999</v>
      </c>
      <c r="G907" s="2">
        <v>1913382.73</v>
      </c>
    </row>
    <row r="908" spans="1:7" x14ac:dyDescent="0.25">
      <c r="A908" s="1">
        <v>44986</v>
      </c>
      <c r="B908" t="s">
        <v>33</v>
      </c>
      <c r="C908" t="s">
        <v>90</v>
      </c>
      <c r="D908" s="2">
        <v>14798296.710000001</v>
      </c>
      <c r="E908" s="2">
        <v>8335479.0099999998</v>
      </c>
      <c r="F908" s="2">
        <v>7519295.5499999998</v>
      </c>
      <c r="G908" s="2">
        <v>2978973.99</v>
      </c>
    </row>
    <row r="909" spans="1:7" x14ac:dyDescent="0.25">
      <c r="A909" s="1">
        <v>44986</v>
      </c>
      <c r="B909" t="s">
        <v>69</v>
      </c>
      <c r="C909" t="s">
        <v>122</v>
      </c>
      <c r="D909" s="2">
        <v>343636145.37</v>
      </c>
      <c r="E909" s="2">
        <v>25742597.969999999</v>
      </c>
      <c r="F909" s="2">
        <v>18068099.350000001</v>
      </c>
      <c r="G909" s="2">
        <v>23984519.960000001</v>
      </c>
    </row>
    <row r="910" spans="1:7" x14ac:dyDescent="0.25">
      <c r="A910" s="1">
        <v>44986</v>
      </c>
      <c r="B910" t="s">
        <v>33</v>
      </c>
      <c r="C910" t="s">
        <v>79</v>
      </c>
      <c r="D910" s="2">
        <v>25187487.940000001</v>
      </c>
      <c r="E910" s="2">
        <v>60204298.060000002</v>
      </c>
      <c r="F910" s="2">
        <v>57583679.210000001</v>
      </c>
      <c r="G910" s="2">
        <v>89772405.629999995</v>
      </c>
    </row>
    <row r="911" spans="1:7" x14ac:dyDescent="0.25">
      <c r="A911" s="1">
        <v>44986</v>
      </c>
      <c r="B911" t="s">
        <v>11</v>
      </c>
      <c r="C911" t="s">
        <v>50</v>
      </c>
      <c r="D911" s="2">
        <v>79111784.280000001</v>
      </c>
      <c r="E911" s="2">
        <v>76473973.239999995</v>
      </c>
      <c r="F911" s="2">
        <v>76032172.030000001</v>
      </c>
      <c r="G911" s="2">
        <v>6085359.8300000001</v>
      </c>
    </row>
    <row r="912" spans="1:7" x14ac:dyDescent="0.25">
      <c r="A912" s="1">
        <v>44986</v>
      </c>
      <c r="B912" t="s">
        <v>52</v>
      </c>
      <c r="C912" t="s">
        <v>118</v>
      </c>
      <c r="D912" s="2">
        <v>34947315.159999996</v>
      </c>
      <c r="E912" s="2">
        <v>20189077.449999999</v>
      </c>
      <c r="F912" s="2">
        <v>17648530.989999998</v>
      </c>
      <c r="G912" s="2">
        <v>12880681.289999999</v>
      </c>
    </row>
    <row r="913" spans="1:7" x14ac:dyDescent="0.25">
      <c r="A913" s="1">
        <v>44986</v>
      </c>
      <c r="B913" t="s">
        <v>7</v>
      </c>
      <c r="C913" t="s">
        <v>95</v>
      </c>
      <c r="D913" s="2">
        <v>770813848.75999999</v>
      </c>
      <c r="E913" s="2">
        <v>253404717.72</v>
      </c>
      <c r="F913" s="2">
        <v>251549452.19999999</v>
      </c>
      <c r="G913" s="2">
        <v>232515456.50999999</v>
      </c>
    </row>
    <row r="914" spans="1:7" x14ac:dyDescent="0.25">
      <c r="A914" s="1">
        <v>44986</v>
      </c>
      <c r="B914" t="s">
        <v>17</v>
      </c>
      <c r="C914" t="s">
        <v>39</v>
      </c>
      <c r="D914" s="2">
        <v>3467962.14</v>
      </c>
      <c r="E914" s="2">
        <v>3188689.87</v>
      </c>
      <c r="F914" s="2">
        <v>3352779.59</v>
      </c>
      <c r="G914" s="2">
        <v>4735.59</v>
      </c>
    </row>
    <row r="915" spans="1:7" x14ac:dyDescent="0.25">
      <c r="A915" s="1">
        <v>44986</v>
      </c>
      <c r="B915" t="s">
        <v>54</v>
      </c>
      <c r="C915" t="s">
        <v>129</v>
      </c>
      <c r="D915" s="2">
        <v>173616885.06999999</v>
      </c>
      <c r="E915" s="2">
        <v>18792530.890000001</v>
      </c>
      <c r="F915" s="2">
        <v>14117297.890000001</v>
      </c>
      <c r="G915" s="2">
        <v>136495935.09999999</v>
      </c>
    </row>
    <row r="916" spans="1:7" x14ac:dyDescent="0.25">
      <c r="A916" s="1">
        <v>44986</v>
      </c>
      <c r="B916" t="s">
        <v>36</v>
      </c>
      <c r="C916" t="s">
        <v>58</v>
      </c>
      <c r="D916">
        <v>0</v>
      </c>
      <c r="E916">
        <v>0</v>
      </c>
      <c r="F916">
        <v>0</v>
      </c>
      <c r="G916" s="2">
        <v>10916061.289999999</v>
      </c>
    </row>
    <row r="917" spans="1:7" x14ac:dyDescent="0.25">
      <c r="A917" s="1">
        <v>44986</v>
      </c>
      <c r="B917" t="s">
        <v>54</v>
      </c>
      <c r="C917" t="s">
        <v>12</v>
      </c>
      <c r="D917" s="2">
        <v>9285817.3399999999</v>
      </c>
      <c r="E917" s="2">
        <v>2657108.5</v>
      </c>
      <c r="F917" s="2">
        <v>3001575.8</v>
      </c>
      <c r="G917" s="2">
        <v>7281950.1600000001</v>
      </c>
    </row>
    <row r="918" spans="1:7" x14ac:dyDescent="0.25">
      <c r="A918" s="1">
        <v>44986</v>
      </c>
      <c r="B918" t="s">
        <v>7</v>
      </c>
      <c r="C918" t="s">
        <v>68</v>
      </c>
      <c r="D918" s="2">
        <v>764513280.66999996</v>
      </c>
      <c r="E918" s="2">
        <v>963382488.80999994</v>
      </c>
      <c r="F918" s="2">
        <v>1011726528.37</v>
      </c>
      <c r="G918" s="2">
        <v>191001133.37</v>
      </c>
    </row>
    <row r="919" spans="1:7" x14ac:dyDescent="0.25">
      <c r="A919" s="1">
        <v>44986</v>
      </c>
      <c r="B919" t="s">
        <v>31</v>
      </c>
      <c r="C919" t="s">
        <v>29</v>
      </c>
      <c r="D919" s="2">
        <v>4849452174.9200001</v>
      </c>
      <c r="E919" s="2">
        <v>25697564453.759998</v>
      </c>
      <c r="F919" s="2">
        <v>25698405827.09</v>
      </c>
      <c r="G919" s="2">
        <v>1867604062.53</v>
      </c>
    </row>
    <row r="920" spans="1:7" x14ac:dyDescent="0.25">
      <c r="A920" s="1">
        <v>44986</v>
      </c>
      <c r="B920" t="s">
        <v>54</v>
      </c>
      <c r="C920" t="s">
        <v>103</v>
      </c>
      <c r="D920" s="2">
        <v>28358774.260000002</v>
      </c>
      <c r="E920" s="2">
        <v>7111464.0099999998</v>
      </c>
      <c r="F920" s="2">
        <v>6966555.4699999997</v>
      </c>
      <c r="G920" s="2">
        <v>2951516.26</v>
      </c>
    </row>
    <row r="921" spans="1:7" x14ac:dyDescent="0.25">
      <c r="A921" s="1">
        <v>44986</v>
      </c>
      <c r="B921" t="s">
        <v>9</v>
      </c>
      <c r="C921" t="s">
        <v>128</v>
      </c>
      <c r="D921" s="2">
        <v>221660158.46000001</v>
      </c>
      <c r="E921" s="2">
        <v>94549215.489999995</v>
      </c>
      <c r="F921" s="2">
        <v>82788949.109999999</v>
      </c>
      <c r="G921" s="2">
        <v>96785493.569999993</v>
      </c>
    </row>
    <row r="922" spans="1:7" x14ac:dyDescent="0.25">
      <c r="A922" s="1">
        <v>44986</v>
      </c>
      <c r="B922" t="s">
        <v>11</v>
      </c>
      <c r="C922" t="s">
        <v>57</v>
      </c>
      <c r="D922" s="2">
        <v>183152165.5</v>
      </c>
      <c r="E922" s="2">
        <v>142829006.87</v>
      </c>
      <c r="F922" s="2">
        <v>142340193.96000001</v>
      </c>
      <c r="G922" s="2">
        <v>13056153.449999999</v>
      </c>
    </row>
    <row r="923" spans="1:7" x14ac:dyDescent="0.25">
      <c r="A923" s="1">
        <v>44986</v>
      </c>
      <c r="B923" t="s">
        <v>54</v>
      </c>
      <c r="C923" t="s">
        <v>78</v>
      </c>
      <c r="D923" s="2">
        <v>176565.86</v>
      </c>
      <c r="E923">
        <v>0</v>
      </c>
      <c r="F923">
        <v>0</v>
      </c>
      <c r="G923" s="2">
        <v>315298399.42000002</v>
      </c>
    </row>
    <row r="924" spans="1:7" x14ac:dyDescent="0.25">
      <c r="A924" s="1">
        <v>44986</v>
      </c>
      <c r="B924" t="s">
        <v>23</v>
      </c>
      <c r="C924" t="s">
        <v>102</v>
      </c>
      <c r="D924" s="2">
        <v>5081962879.79</v>
      </c>
      <c r="E924" s="2">
        <v>4950406655.8000002</v>
      </c>
      <c r="F924" s="2">
        <v>4945161998.8299999</v>
      </c>
      <c r="G924" s="2">
        <v>320501492.93000001</v>
      </c>
    </row>
    <row r="925" spans="1:7" x14ac:dyDescent="0.25">
      <c r="A925" s="1">
        <v>44986</v>
      </c>
      <c r="B925" t="s">
        <v>33</v>
      </c>
      <c r="C925" t="s">
        <v>57</v>
      </c>
      <c r="D925" s="2">
        <v>896080197.75999999</v>
      </c>
      <c r="E925" s="2">
        <v>1546977055.5699999</v>
      </c>
      <c r="F925" s="2">
        <v>1627605735.8900001</v>
      </c>
      <c r="G925" s="2">
        <v>96035932.269999996</v>
      </c>
    </row>
    <row r="926" spans="1:7" x14ac:dyDescent="0.25">
      <c r="A926" s="1">
        <v>44986</v>
      </c>
      <c r="B926" t="s">
        <v>7</v>
      </c>
      <c r="C926" t="s">
        <v>102</v>
      </c>
      <c r="D926" s="2">
        <v>220365384.06</v>
      </c>
      <c r="E926" s="2">
        <v>846666704.71000004</v>
      </c>
      <c r="F926" s="2">
        <v>916883130.13</v>
      </c>
      <c r="G926" s="2">
        <v>96402843.950000003</v>
      </c>
    </row>
    <row r="927" spans="1:7" x14ac:dyDescent="0.25">
      <c r="A927" s="1">
        <v>44986</v>
      </c>
      <c r="B927" t="s">
        <v>7</v>
      </c>
      <c r="C927" t="s">
        <v>100</v>
      </c>
      <c r="D927" s="2">
        <v>1079057970.75</v>
      </c>
      <c r="E927" s="2">
        <v>2399663980.6599998</v>
      </c>
      <c r="F927" s="2">
        <v>2671886137.6700001</v>
      </c>
      <c r="G927" s="2">
        <v>393563634.45999998</v>
      </c>
    </row>
    <row r="928" spans="1:7" x14ac:dyDescent="0.25">
      <c r="A928" s="1">
        <v>44986</v>
      </c>
      <c r="B928" t="s">
        <v>54</v>
      </c>
      <c r="C928" t="s">
        <v>120</v>
      </c>
      <c r="D928" s="2">
        <v>124540570.05</v>
      </c>
      <c r="E928" s="2">
        <v>64664042.240000002</v>
      </c>
      <c r="F928" s="2">
        <v>100736502.39</v>
      </c>
      <c r="G928" s="2">
        <v>70055239.299999997</v>
      </c>
    </row>
    <row r="929" spans="1:7" x14ac:dyDescent="0.25">
      <c r="A929" s="1">
        <v>44986</v>
      </c>
      <c r="B929" t="s">
        <v>9</v>
      </c>
      <c r="C929" t="s">
        <v>57</v>
      </c>
      <c r="D929" s="2">
        <v>247468307.55000001</v>
      </c>
      <c r="E929" s="2">
        <v>600999037.88</v>
      </c>
      <c r="F929" s="2">
        <v>590419872.33000004</v>
      </c>
      <c r="G929" s="2">
        <v>22475242.530000001</v>
      </c>
    </row>
    <row r="930" spans="1:7" x14ac:dyDescent="0.25">
      <c r="A930" s="1">
        <v>44986</v>
      </c>
      <c r="B930" t="s">
        <v>54</v>
      </c>
      <c r="C930" t="s">
        <v>57</v>
      </c>
      <c r="D930" s="2">
        <v>1245113180.52</v>
      </c>
      <c r="E930" s="2">
        <v>5258790936.0600004</v>
      </c>
      <c r="F930" s="2">
        <v>5080410189.0500002</v>
      </c>
      <c r="G930" s="2">
        <v>102512046.88</v>
      </c>
    </row>
    <row r="931" spans="1:7" x14ac:dyDescent="0.25">
      <c r="A931" s="1">
        <v>44986</v>
      </c>
      <c r="B931" t="s">
        <v>54</v>
      </c>
      <c r="C931" t="s">
        <v>72</v>
      </c>
      <c r="D931" s="2">
        <v>622311697.22000003</v>
      </c>
      <c r="E931" s="2">
        <v>500363232.23000002</v>
      </c>
      <c r="F931" s="2">
        <v>479988159.58999997</v>
      </c>
      <c r="G931" s="2">
        <v>46713430.509999998</v>
      </c>
    </row>
    <row r="932" spans="1:7" x14ac:dyDescent="0.25">
      <c r="A932" s="1">
        <v>44986</v>
      </c>
      <c r="B932" t="s">
        <v>23</v>
      </c>
      <c r="C932" t="s">
        <v>57</v>
      </c>
      <c r="D932" s="2">
        <v>192493096.72</v>
      </c>
      <c r="E932" s="2">
        <v>591073820.55999994</v>
      </c>
      <c r="F932" s="2">
        <v>608540068.84000003</v>
      </c>
      <c r="G932" s="2">
        <v>16205323.720000001</v>
      </c>
    </row>
    <row r="933" spans="1:7" x14ac:dyDescent="0.25">
      <c r="A933" s="1">
        <v>45017</v>
      </c>
      <c r="B933" t="s">
        <v>36</v>
      </c>
      <c r="C933" t="s">
        <v>121</v>
      </c>
      <c r="D933">
        <v>0</v>
      </c>
      <c r="E933">
        <v>0</v>
      </c>
      <c r="F933">
        <v>0</v>
      </c>
      <c r="G933" s="2">
        <v>1677</v>
      </c>
    </row>
    <row r="934" spans="1:7" x14ac:dyDescent="0.25">
      <c r="A934" s="1">
        <v>45017</v>
      </c>
      <c r="B934" t="s">
        <v>9</v>
      </c>
      <c r="C934" t="s">
        <v>10</v>
      </c>
      <c r="D934" s="2">
        <v>318884.08</v>
      </c>
      <c r="E934" s="2">
        <v>473434.08</v>
      </c>
      <c r="F934" s="2">
        <v>473434.08</v>
      </c>
      <c r="G934">
        <v>0</v>
      </c>
    </row>
    <row r="935" spans="1:7" x14ac:dyDescent="0.25">
      <c r="A935" s="1">
        <v>45017</v>
      </c>
      <c r="B935" t="s">
        <v>36</v>
      </c>
      <c r="C935" t="s">
        <v>49</v>
      </c>
      <c r="D935" s="2">
        <v>33989753.689999998</v>
      </c>
      <c r="E935" s="2">
        <v>33989753.689999998</v>
      </c>
      <c r="F935" s="2">
        <v>33989753.689999998</v>
      </c>
      <c r="G935">
        <v>0</v>
      </c>
    </row>
    <row r="936" spans="1:7" x14ac:dyDescent="0.25">
      <c r="A936" s="1">
        <v>45017</v>
      </c>
      <c r="B936" t="s">
        <v>91</v>
      </c>
      <c r="C936" t="s">
        <v>78</v>
      </c>
      <c r="D936">
        <v>0</v>
      </c>
      <c r="E936">
        <v>0</v>
      </c>
      <c r="F936">
        <v>0</v>
      </c>
      <c r="G936" s="2">
        <v>-7740.95</v>
      </c>
    </row>
    <row r="937" spans="1:7" x14ac:dyDescent="0.25">
      <c r="A937" s="1">
        <v>45017</v>
      </c>
      <c r="B937" t="s">
        <v>13</v>
      </c>
      <c r="C937" t="s">
        <v>79</v>
      </c>
      <c r="D937">
        <v>0</v>
      </c>
      <c r="E937">
        <v>0</v>
      </c>
      <c r="F937">
        <v>0</v>
      </c>
      <c r="G937" s="2">
        <v>1638738.94</v>
      </c>
    </row>
    <row r="938" spans="1:7" x14ac:dyDescent="0.25">
      <c r="A938" s="1">
        <v>45017</v>
      </c>
      <c r="B938" t="s">
        <v>26</v>
      </c>
      <c r="C938" t="s">
        <v>22</v>
      </c>
      <c r="D938">
        <v>0</v>
      </c>
      <c r="E938" s="2">
        <v>5739850.4000000004</v>
      </c>
      <c r="F938" s="2">
        <v>5739850.4000000004</v>
      </c>
      <c r="G938">
        <v>0</v>
      </c>
    </row>
    <row r="939" spans="1:7" x14ac:dyDescent="0.25">
      <c r="A939" s="1">
        <v>45017</v>
      </c>
      <c r="B939" t="s">
        <v>37</v>
      </c>
      <c r="C939" t="s">
        <v>38</v>
      </c>
      <c r="D939">
        <v>0</v>
      </c>
      <c r="E939">
        <v>0</v>
      </c>
      <c r="F939">
        <v>0</v>
      </c>
      <c r="G939" s="2">
        <v>144501.42000000001</v>
      </c>
    </row>
    <row r="940" spans="1:7" x14ac:dyDescent="0.25">
      <c r="A940" s="1">
        <v>45017</v>
      </c>
      <c r="B940" t="s">
        <v>23</v>
      </c>
      <c r="C940" t="s">
        <v>24</v>
      </c>
      <c r="D940">
        <v>0</v>
      </c>
      <c r="E940" s="2">
        <v>71450.61</v>
      </c>
      <c r="F940" s="2">
        <v>71450.61</v>
      </c>
      <c r="G940">
        <v>0</v>
      </c>
    </row>
    <row r="941" spans="1:7" x14ac:dyDescent="0.25">
      <c r="A941" s="1">
        <v>45017</v>
      </c>
      <c r="B941" t="s">
        <v>15</v>
      </c>
      <c r="C941" t="s">
        <v>19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 s="1">
        <v>45017</v>
      </c>
      <c r="B942" t="s">
        <v>26</v>
      </c>
      <c r="C942" t="s">
        <v>78</v>
      </c>
      <c r="D942">
        <v>0</v>
      </c>
      <c r="E942">
        <v>0</v>
      </c>
      <c r="F942">
        <v>0</v>
      </c>
      <c r="G942" s="2">
        <v>27540.46</v>
      </c>
    </row>
    <row r="943" spans="1:7" x14ac:dyDescent="0.25">
      <c r="A943" s="1">
        <v>45017</v>
      </c>
      <c r="B943" t="s">
        <v>91</v>
      </c>
      <c r="C943" t="s">
        <v>22</v>
      </c>
      <c r="D943">
        <v>0</v>
      </c>
      <c r="E943" s="2">
        <v>14531666.68</v>
      </c>
      <c r="F943" s="2">
        <v>14531666.68</v>
      </c>
      <c r="G943">
        <v>0</v>
      </c>
    </row>
    <row r="944" spans="1:7" x14ac:dyDescent="0.25">
      <c r="A944" s="1">
        <v>45017</v>
      </c>
      <c r="B944" t="s">
        <v>15</v>
      </c>
      <c r="C944" t="s">
        <v>22</v>
      </c>
      <c r="D944">
        <v>0</v>
      </c>
      <c r="E944" s="2">
        <v>4124562.64</v>
      </c>
      <c r="F944" s="2">
        <v>4131999.72</v>
      </c>
      <c r="G944">
        <v>0</v>
      </c>
    </row>
    <row r="945" spans="1:7" x14ac:dyDescent="0.25">
      <c r="A945" s="1">
        <v>45017</v>
      </c>
      <c r="B945" t="s">
        <v>17</v>
      </c>
      <c r="C945" t="s">
        <v>66</v>
      </c>
      <c r="D945">
        <v>0</v>
      </c>
      <c r="E945">
        <v>0</v>
      </c>
      <c r="F945">
        <v>0</v>
      </c>
      <c r="G945" s="2">
        <v>250000</v>
      </c>
    </row>
    <row r="946" spans="1:7" x14ac:dyDescent="0.25">
      <c r="A946" s="1">
        <v>45017</v>
      </c>
      <c r="B946" t="s">
        <v>23</v>
      </c>
      <c r="C946" t="s">
        <v>58</v>
      </c>
      <c r="D946" s="2">
        <v>69371.78</v>
      </c>
      <c r="E946" s="2">
        <v>29965.85</v>
      </c>
      <c r="F946" s="2">
        <v>29965.85</v>
      </c>
      <c r="G946" s="2">
        <v>202344</v>
      </c>
    </row>
    <row r="947" spans="1:7" x14ac:dyDescent="0.25">
      <c r="A947" s="1">
        <v>45017</v>
      </c>
      <c r="B947" t="s">
        <v>27</v>
      </c>
      <c r="C947" t="s">
        <v>78</v>
      </c>
      <c r="D947">
        <v>0</v>
      </c>
      <c r="E947">
        <v>0</v>
      </c>
      <c r="F947">
        <v>0</v>
      </c>
      <c r="G947" s="2">
        <v>5252.09</v>
      </c>
    </row>
    <row r="948" spans="1:7" x14ac:dyDescent="0.25">
      <c r="A948" s="1">
        <v>45017</v>
      </c>
      <c r="B948" t="s">
        <v>27</v>
      </c>
      <c r="C948" t="s">
        <v>22</v>
      </c>
      <c r="D948">
        <v>0</v>
      </c>
      <c r="E948" s="2">
        <v>24795434.440000001</v>
      </c>
      <c r="F948" s="2">
        <v>24795434.440000001</v>
      </c>
      <c r="G948">
        <v>0</v>
      </c>
    </row>
    <row r="949" spans="1:7" x14ac:dyDescent="0.25">
      <c r="A949" s="1">
        <v>45017</v>
      </c>
      <c r="B949" t="s">
        <v>91</v>
      </c>
      <c r="C949" t="s">
        <v>16</v>
      </c>
      <c r="D949" s="2">
        <v>3000000</v>
      </c>
      <c r="E949">
        <v>0</v>
      </c>
      <c r="F949">
        <v>0</v>
      </c>
      <c r="G949">
        <v>0</v>
      </c>
    </row>
    <row r="950" spans="1:7" x14ac:dyDescent="0.25">
      <c r="A950" s="1">
        <v>45017</v>
      </c>
      <c r="B950" t="s">
        <v>11</v>
      </c>
      <c r="C950" t="s">
        <v>22</v>
      </c>
      <c r="D950" s="2">
        <v>37570740</v>
      </c>
      <c r="E950" s="2">
        <v>10933010.289999999</v>
      </c>
      <c r="F950" s="2">
        <v>10933010.289999999</v>
      </c>
      <c r="G950">
        <v>0</v>
      </c>
    </row>
    <row r="951" spans="1:7" x14ac:dyDescent="0.25">
      <c r="A951" s="1">
        <v>45017</v>
      </c>
      <c r="B951" t="s">
        <v>33</v>
      </c>
      <c r="C951" t="s">
        <v>34</v>
      </c>
      <c r="D951" s="2">
        <v>10210000</v>
      </c>
      <c r="E951">
        <v>0</v>
      </c>
      <c r="F951">
        <v>0</v>
      </c>
      <c r="G951">
        <v>0</v>
      </c>
    </row>
    <row r="952" spans="1:7" x14ac:dyDescent="0.25">
      <c r="A952" s="1">
        <v>45017</v>
      </c>
      <c r="B952" t="s">
        <v>15</v>
      </c>
      <c r="C952" t="s">
        <v>51</v>
      </c>
      <c r="D952" s="2">
        <v>6297926.1699999999</v>
      </c>
      <c r="E952" s="2">
        <v>2329712.27</v>
      </c>
      <c r="F952" s="2">
        <v>2333545.87</v>
      </c>
      <c r="G952">
        <v>0</v>
      </c>
    </row>
    <row r="953" spans="1:7" x14ac:dyDescent="0.25">
      <c r="A953" s="1">
        <v>45017</v>
      </c>
      <c r="B953" t="s">
        <v>13</v>
      </c>
      <c r="C953" t="s">
        <v>14</v>
      </c>
      <c r="D953">
        <v>0</v>
      </c>
      <c r="E953">
        <v>0</v>
      </c>
      <c r="F953">
        <v>0</v>
      </c>
      <c r="G953" s="2">
        <v>1025000</v>
      </c>
    </row>
    <row r="954" spans="1:7" x14ac:dyDescent="0.25">
      <c r="A954" s="1">
        <v>45017</v>
      </c>
      <c r="B954" t="s">
        <v>11</v>
      </c>
      <c r="C954" t="s">
        <v>78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 s="1">
        <v>45017</v>
      </c>
      <c r="B955" t="s">
        <v>26</v>
      </c>
      <c r="C955" t="s">
        <v>48</v>
      </c>
      <c r="D955">
        <v>0</v>
      </c>
      <c r="E955">
        <v>0</v>
      </c>
      <c r="F955">
        <v>0</v>
      </c>
      <c r="G955" s="2">
        <v>100000</v>
      </c>
    </row>
    <row r="956" spans="1:7" x14ac:dyDescent="0.25">
      <c r="A956" s="1">
        <v>45017</v>
      </c>
      <c r="B956" t="s">
        <v>36</v>
      </c>
      <c r="C956" t="s">
        <v>14</v>
      </c>
      <c r="D956" s="2">
        <v>22613330.199999999</v>
      </c>
      <c r="E956" s="2">
        <v>4235889.92</v>
      </c>
      <c r="F956" s="2">
        <v>4235889.92</v>
      </c>
      <c r="G956" s="2">
        <v>2796682.63</v>
      </c>
    </row>
    <row r="957" spans="1:7" x14ac:dyDescent="0.25">
      <c r="A957" s="1">
        <v>45017</v>
      </c>
      <c r="B957" t="s">
        <v>21</v>
      </c>
      <c r="C957" t="s">
        <v>103</v>
      </c>
      <c r="D957">
        <v>0</v>
      </c>
      <c r="E957">
        <v>0</v>
      </c>
      <c r="F957">
        <v>0</v>
      </c>
      <c r="G957" s="2">
        <v>141436.03</v>
      </c>
    </row>
    <row r="958" spans="1:7" x14ac:dyDescent="0.25">
      <c r="A958" s="1">
        <v>45017</v>
      </c>
      <c r="B958" t="s">
        <v>15</v>
      </c>
      <c r="C958" t="s">
        <v>30</v>
      </c>
      <c r="D958" s="2">
        <v>942187.39</v>
      </c>
      <c r="E958">
        <v>0</v>
      </c>
      <c r="F958">
        <v>0</v>
      </c>
      <c r="G958">
        <v>0</v>
      </c>
    </row>
    <row r="959" spans="1:7" x14ac:dyDescent="0.25">
      <c r="A959" s="1">
        <v>45017</v>
      </c>
      <c r="B959" t="s">
        <v>17</v>
      </c>
      <c r="C959" t="s">
        <v>22</v>
      </c>
      <c r="D959">
        <v>0</v>
      </c>
      <c r="E959" s="2">
        <v>14431964.039999999</v>
      </c>
      <c r="F959" s="2">
        <v>14431964.039999999</v>
      </c>
      <c r="G959">
        <v>0</v>
      </c>
    </row>
    <row r="960" spans="1:7" x14ac:dyDescent="0.25">
      <c r="A960" s="1">
        <v>45017</v>
      </c>
      <c r="B960" t="s">
        <v>23</v>
      </c>
      <c r="C960" t="s">
        <v>16</v>
      </c>
      <c r="D960" s="2">
        <v>28390430.629999999</v>
      </c>
      <c r="E960" s="2">
        <v>24384690.920000002</v>
      </c>
      <c r="F960" s="2">
        <v>13133553.039999999</v>
      </c>
      <c r="G960" s="2">
        <v>17743698.870000001</v>
      </c>
    </row>
    <row r="961" spans="1:7" x14ac:dyDescent="0.25">
      <c r="A961" s="1">
        <v>45017</v>
      </c>
      <c r="B961" t="s">
        <v>62</v>
      </c>
      <c r="C961" t="s">
        <v>39</v>
      </c>
      <c r="D961">
        <v>0</v>
      </c>
      <c r="E961">
        <v>0</v>
      </c>
      <c r="F961">
        <v>0</v>
      </c>
      <c r="G961" s="2">
        <v>380460844</v>
      </c>
    </row>
    <row r="962" spans="1:7" x14ac:dyDescent="0.25">
      <c r="A962" s="1">
        <v>45017</v>
      </c>
      <c r="B962" t="s">
        <v>65</v>
      </c>
      <c r="C962" t="s">
        <v>14</v>
      </c>
      <c r="D962" s="2">
        <v>88997099.810000002</v>
      </c>
      <c r="E962" s="2">
        <v>26500217.850000001</v>
      </c>
      <c r="F962" s="2">
        <v>26500217.850000001</v>
      </c>
      <c r="G962" s="2">
        <v>632267.06999999995</v>
      </c>
    </row>
    <row r="963" spans="1:7" x14ac:dyDescent="0.25">
      <c r="A963" s="1">
        <v>45017</v>
      </c>
      <c r="B963" t="s">
        <v>91</v>
      </c>
      <c r="C963" t="s">
        <v>50</v>
      </c>
      <c r="D963" s="2">
        <v>110000</v>
      </c>
      <c r="E963" s="2">
        <v>93914.63</v>
      </c>
      <c r="F963" s="2">
        <v>93914.63</v>
      </c>
      <c r="G963">
        <v>0</v>
      </c>
    </row>
    <row r="964" spans="1:7" x14ac:dyDescent="0.25">
      <c r="A964" s="1">
        <v>45017</v>
      </c>
      <c r="B964" t="s">
        <v>23</v>
      </c>
      <c r="C964" t="s">
        <v>22</v>
      </c>
      <c r="D964" s="2">
        <v>-376932.57</v>
      </c>
      <c r="E964" s="2">
        <v>74523531.379999995</v>
      </c>
      <c r="F964" s="2">
        <v>74524363.219999999</v>
      </c>
      <c r="G964">
        <v>0</v>
      </c>
    </row>
    <row r="965" spans="1:7" x14ac:dyDescent="0.25">
      <c r="A965" s="1">
        <v>45017</v>
      </c>
      <c r="B965" t="s">
        <v>23</v>
      </c>
      <c r="C965" t="s">
        <v>119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 s="1">
        <v>45017</v>
      </c>
      <c r="B966" t="s">
        <v>62</v>
      </c>
      <c r="C966" t="s">
        <v>63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 s="1">
        <v>45017</v>
      </c>
      <c r="B967" t="s">
        <v>7</v>
      </c>
      <c r="C967" t="s">
        <v>34</v>
      </c>
      <c r="D967">
        <v>0</v>
      </c>
      <c r="E967">
        <v>0</v>
      </c>
      <c r="F967">
        <v>0</v>
      </c>
      <c r="G967" s="2">
        <v>3000000</v>
      </c>
    </row>
    <row r="968" spans="1:7" x14ac:dyDescent="0.25">
      <c r="A968" s="1">
        <v>45017</v>
      </c>
      <c r="B968" t="s">
        <v>43</v>
      </c>
      <c r="C968" t="s">
        <v>89</v>
      </c>
      <c r="D968">
        <v>0</v>
      </c>
      <c r="E968">
        <v>0</v>
      </c>
      <c r="F968">
        <v>0</v>
      </c>
      <c r="G968" s="2">
        <v>408152.46</v>
      </c>
    </row>
    <row r="969" spans="1:7" x14ac:dyDescent="0.25">
      <c r="A969" s="1">
        <v>45017</v>
      </c>
      <c r="B969" t="s">
        <v>11</v>
      </c>
      <c r="C969" t="s">
        <v>12</v>
      </c>
      <c r="D969" s="2">
        <v>278446.95</v>
      </c>
      <c r="E969" s="2">
        <v>108006.52</v>
      </c>
      <c r="F969" s="2">
        <v>115252.89</v>
      </c>
      <c r="G969" s="2">
        <v>30000</v>
      </c>
    </row>
    <row r="970" spans="1:7" x14ac:dyDescent="0.25">
      <c r="A970" s="1">
        <v>45017</v>
      </c>
      <c r="B970" t="s">
        <v>27</v>
      </c>
      <c r="C970" t="s">
        <v>56</v>
      </c>
      <c r="D970" s="2">
        <v>30456.25</v>
      </c>
      <c r="E970">
        <v>102.4</v>
      </c>
      <c r="F970">
        <v>102.4</v>
      </c>
      <c r="G970">
        <v>768.47</v>
      </c>
    </row>
    <row r="971" spans="1:7" x14ac:dyDescent="0.25">
      <c r="A971" s="1">
        <v>45017</v>
      </c>
      <c r="B971" t="s">
        <v>15</v>
      </c>
      <c r="C971" t="s">
        <v>50</v>
      </c>
      <c r="D971">
        <v>-3</v>
      </c>
      <c r="E971">
        <v>0</v>
      </c>
      <c r="F971">
        <v>0</v>
      </c>
      <c r="G971">
        <v>0</v>
      </c>
    </row>
    <row r="972" spans="1:7" x14ac:dyDescent="0.25">
      <c r="A972" s="1">
        <v>45017</v>
      </c>
      <c r="B972" t="s">
        <v>33</v>
      </c>
      <c r="C972" t="s">
        <v>16</v>
      </c>
      <c r="D972">
        <v>0</v>
      </c>
      <c r="E972">
        <v>0</v>
      </c>
      <c r="F972">
        <v>0</v>
      </c>
      <c r="G972" s="2">
        <v>3067970.33</v>
      </c>
    </row>
    <row r="973" spans="1:7" x14ac:dyDescent="0.25">
      <c r="A973" s="1">
        <v>45017</v>
      </c>
      <c r="B973" t="s">
        <v>28</v>
      </c>
      <c r="C973" t="s">
        <v>78</v>
      </c>
      <c r="D973">
        <v>0</v>
      </c>
      <c r="E973">
        <v>0</v>
      </c>
      <c r="F973">
        <v>0</v>
      </c>
      <c r="G973" s="2">
        <v>127370.61</v>
      </c>
    </row>
    <row r="974" spans="1:7" x14ac:dyDescent="0.25">
      <c r="A974" s="1">
        <v>45017</v>
      </c>
      <c r="B974" t="s">
        <v>54</v>
      </c>
      <c r="C974" t="s">
        <v>8</v>
      </c>
      <c r="D974" s="2">
        <v>-6000</v>
      </c>
      <c r="E974">
        <v>-503.08</v>
      </c>
      <c r="F974">
        <v>-503.08</v>
      </c>
      <c r="G974" s="2">
        <v>17344.5</v>
      </c>
    </row>
    <row r="975" spans="1:7" x14ac:dyDescent="0.25">
      <c r="A975" s="1">
        <v>45017</v>
      </c>
      <c r="B975" t="s">
        <v>69</v>
      </c>
      <c r="C975" t="s">
        <v>105</v>
      </c>
      <c r="D975" s="2">
        <v>163978.67000000001</v>
      </c>
      <c r="E975" s="2">
        <v>51844.23</v>
      </c>
      <c r="F975" s="2">
        <v>47414.49</v>
      </c>
      <c r="G975" s="2">
        <v>266312.23</v>
      </c>
    </row>
    <row r="976" spans="1:7" x14ac:dyDescent="0.25">
      <c r="A976" s="1">
        <v>45017</v>
      </c>
      <c r="B976" t="s">
        <v>15</v>
      </c>
      <c r="C976" t="s">
        <v>60</v>
      </c>
      <c r="D976" s="2">
        <v>6775480.6100000003</v>
      </c>
      <c r="E976" s="2">
        <v>5119744.54</v>
      </c>
      <c r="F976" s="2">
        <v>4526989.8899999997</v>
      </c>
      <c r="G976" s="2">
        <v>145911.76</v>
      </c>
    </row>
    <row r="977" spans="1:7" x14ac:dyDescent="0.25">
      <c r="A977" s="1">
        <v>45017</v>
      </c>
      <c r="B977" t="s">
        <v>9</v>
      </c>
      <c r="C977" t="s">
        <v>22</v>
      </c>
      <c r="D977">
        <v>0</v>
      </c>
      <c r="E977" s="2">
        <v>105691777.13</v>
      </c>
      <c r="F977" s="2">
        <v>105691777.13</v>
      </c>
      <c r="G977" s="2">
        <v>44933.24</v>
      </c>
    </row>
    <row r="978" spans="1:7" x14ac:dyDescent="0.25">
      <c r="A978" s="1">
        <v>45017</v>
      </c>
      <c r="B978" t="s">
        <v>43</v>
      </c>
      <c r="C978" t="s">
        <v>61</v>
      </c>
      <c r="D978" s="2">
        <v>6372956.2699999996</v>
      </c>
      <c r="E978" s="2">
        <v>710517.74</v>
      </c>
      <c r="F978" s="2">
        <v>726778.63</v>
      </c>
      <c r="G978" s="2">
        <v>1074593.5900000001</v>
      </c>
    </row>
    <row r="979" spans="1:7" x14ac:dyDescent="0.25">
      <c r="A979" s="1">
        <v>45017</v>
      </c>
      <c r="B979" t="s">
        <v>13</v>
      </c>
      <c r="C979" t="s">
        <v>20</v>
      </c>
      <c r="D979" s="2">
        <v>377067.64</v>
      </c>
      <c r="E979" s="2">
        <v>396433.89</v>
      </c>
      <c r="F979" s="2">
        <v>396433.89</v>
      </c>
      <c r="G979" s="2">
        <v>271300</v>
      </c>
    </row>
    <row r="980" spans="1:7" x14ac:dyDescent="0.25">
      <c r="A980" s="1">
        <v>45017</v>
      </c>
      <c r="B980" t="s">
        <v>52</v>
      </c>
      <c r="C980" t="s">
        <v>66</v>
      </c>
      <c r="D980">
        <v>0</v>
      </c>
      <c r="E980">
        <v>0</v>
      </c>
      <c r="F980">
        <v>0</v>
      </c>
      <c r="G980" s="2">
        <v>238856</v>
      </c>
    </row>
    <row r="981" spans="1:7" x14ac:dyDescent="0.25">
      <c r="A981" s="1">
        <v>45017</v>
      </c>
      <c r="B981" t="s">
        <v>69</v>
      </c>
      <c r="C981" t="s">
        <v>22</v>
      </c>
      <c r="D981" s="2">
        <v>-33685.769999999997</v>
      </c>
      <c r="E981" s="2">
        <v>13442928.619999999</v>
      </c>
      <c r="F981" s="2">
        <v>13441133.289999999</v>
      </c>
      <c r="G981">
        <v>0</v>
      </c>
    </row>
    <row r="982" spans="1:7" x14ac:dyDescent="0.25">
      <c r="A982" s="1">
        <v>45017</v>
      </c>
      <c r="B982" t="s">
        <v>47</v>
      </c>
      <c r="C982" t="s">
        <v>78</v>
      </c>
      <c r="D982">
        <v>0</v>
      </c>
      <c r="E982">
        <v>0</v>
      </c>
      <c r="F982">
        <v>0</v>
      </c>
      <c r="G982" s="2">
        <v>1408.83</v>
      </c>
    </row>
    <row r="983" spans="1:7" x14ac:dyDescent="0.25">
      <c r="A983" s="1">
        <v>45017</v>
      </c>
      <c r="B983" t="s">
        <v>62</v>
      </c>
      <c r="C983" t="s">
        <v>22</v>
      </c>
      <c r="D983" s="2">
        <v>2050000</v>
      </c>
      <c r="E983" s="2">
        <v>4392445.6100000003</v>
      </c>
      <c r="F983" s="2">
        <v>3579684.75</v>
      </c>
      <c r="G983">
        <v>0</v>
      </c>
    </row>
    <row r="984" spans="1:7" x14ac:dyDescent="0.25">
      <c r="A984" s="1">
        <v>45017</v>
      </c>
      <c r="B984" t="s">
        <v>17</v>
      </c>
      <c r="C984" t="s">
        <v>16</v>
      </c>
      <c r="D984">
        <v>0</v>
      </c>
      <c r="E984">
        <v>0</v>
      </c>
      <c r="F984">
        <v>0</v>
      </c>
      <c r="G984">
        <v>422.06</v>
      </c>
    </row>
    <row r="985" spans="1:7" x14ac:dyDescent="0.25">
      <c r="A985" s="1">
        <v>45017</v>
      </c>
      <c r="B985" t="s">
        <v>7</v>
      </c>
      <c r="C985" t="s">
        <v>16</v>
      </c>
      <c r="D985" s="2">
        <v>880588.17</v>
      </c>
      <c r="E985" s="2">
        <v>34940.559999999998</v>
      </c>
      <c r="F985" s="2">
        <v>37237.58</v>
      </c>
      <c r="G985" s="2">
        <v>591886.14</v>
      </c>
    </row>
    <row r="986" spans="1:7" x14ac:dyDescent="0.25">
      <c r="A986" s="1">
        <v>45017</v>
      </c>
      <c r="B986" t="s">
        <v>65</v>
      </c>
      <c r="C986" t="s">
        <v>73</v>
      </c>
      <c r="D986" s="2">
        <v>1760150554.73</v>
      </c>
      <c r="E986" s="2">
        <v>1760085554.73</v>
      </c>
      <c r="F986" s="2">
        <v>1760085554.73</v>
      </c>
      <c r="G986" s="2">
        <v>10884.76</v>
      </c>
    </row>
    <row r="987" spans="1:7" x14ac:dyDescent="0.25">
      <c r="A987" s="1">
        <v>45017</v>
      </c>
      <c r="B987" t="s">
        <v>69</v>
      </c>
      <c r="C987" t="s">
        <v>55</v>
      </c>
      <c r="D987" s="2">
        <v>104933.58</v>
      </c>
      <c r="E987" s="2">
        <v>13789.17</v>
      </c>
      <c r="F987" s="2">
        <v>13789.17</v>
      </c>
      <c r="G987" s="2">
        <v>5500</v>
      </c>
    </row>
    <row r="988" spans="1:7" x14ac:dyDescent="0.25">
      <c r="A988" s="1">
        <v>45017</v>
      </c>
      <c r="B988" t="s">
        <v>62</v>
      </c>
      <c r="C988" t="s">
        <v>34</v>
      </c>
      <c r="D988">
        <v>0</v>
      </c>
      <c r="E988" s="2">
        <v>8500587</v>
      </c>
      <c r="F988" s="2">
        <v>8500587</v>
      </c>
      <c r="G988">
        <v>0</v>
      </c>
    </row>
    <row r="989" spans="1:7" x14ac:dyDescent="0.25">
      <c r="A989" s="1">
        <v>45017</v>
      </c>
      <c r="B989" t="s">
        <v>33</v>
      </c>
      <c r="C989" t="s">
        <v>67</v>
      </c>
      <c r="D989" s="2">
        <v>7675880.9699999997</v>
      </c>
      <c r="E989" s="2">
        <v>2204546.83</v>
      </c>
      <c r="F989" s="2">
        <v>2390822.44</v>
      </c>
      <c r="G989" s="2">
        <v>5819.81</v>
      </c>
    </row>
    <row r="990" spans="1:7" x14ac:dyDescent="0.25">
      <c r="A990" s="1">
        <v>45017</v>
      </c>
      <c r="B990" t="s">
        <v>91</v>
      </c>
      <c r="C990" t="s">
        <v>12</v>
      </c>
      <c r="D990">
        <v>0</v>
      </c>
      <c r="E990">
        <v>0</v>
      </c>
      <c r="F990">
        <v>0</v>
      </c>
      <c r="G990" s="2">
        <v>27694.48</v>
      </c>
    </row>
    <row r="991" spans="1:7" x14ac:dyDescent="0.25">
      <c r="A991" s="1">
        <v>45017</v>
      </c>
      <c r="B991" t="s">
        <v>9</v>
      </c>
      <c r="C991" t="s">
        <v>78</v>
      </c>
      <c r="D991">
        <v>0</v>
      </c>
      <c r="E991">
        <v>0</v>
      </c>
      <c r="F991">
        <v>0</v>
      </c>
      <c r="G991" s="2">
        <v>685531.78</v>
      </c>
    </row>
    <row r="992" spans="1:7" x14ac:dyDescent="0.25">
      <c r="A992" s="1">
        <v>45017</v>
      </c>
      <c r="B992" t="s">
        <v>13</v>
      </c>
      <c r="C992" t="s">
        <v>75</v>
      </c>
      <c r="D992" s="2">
        <v>210000.5</v>
      </c>
      <c r="E992" s="2">
        <v>17707.099999999999</v>
      </c>
      <c r="F992" s="2">
        <v>17707.099999999999</v>
      </c>
      <c r="G992" s="2">
        <v>14611.22</v>
      </c>
    </row>
    <row r="993" spans="1:7" x14ac:dyDescent="0.25">
      <c r="A993" s="1">
        <v>45017</v>
      </c>
      <c r="B993" t="s">
        <v>47</v>
      </c>
      <c r="C993" t="s">
        <v>22</v>
      </c>
      <c r="D993" s="2">
        <v>31452357.52</v>
      </c>
      <c r="E993" s="2">
        <v>3925403.32</v>
      </c>
      <c r="F993" s="2">
        <v>3925403.32</v>
      </c>
      <c r="G993">
        <v>0</v>
      </c>
    </row>
    <row r="994" spans="1:7" x14ac:dyDescent="0.25">
      <c r="A994" s="1">
        <v>45017</v>
      </c>
      <c r="B994" t="s">
        <v>17</v>
      </c>
      <c r="C994" t="s">
        <v>48</v>
      </c>
      <c r="D994">
        <v>0</v>
      </c>
      <c r="E994">
        <v>0</v>
      </c>
      <c r="F994">
        <v>0</v>
      </c>
      <c r="G994" s="2">
        <v>2736539.18</v>
      </c>
    </row>
    <row r="995" spans="1:7" x14ac:dyDescent="0.25">
      <c r="A995" s="1">
        <v>45017</v>
      </c>
      <c r="B995" t="s">
        <v>11</v>
      </c>
      <c r="C995" t="s">
        <v>55</v>
      </c>
      <c r="D995" s="2">
        <v>1529147.2</v>
      </c>
      <c r="E995" s="2">
        <v>378152.93</v>
      </c>
      <c r="F995" s="2">
        <v>482055.82</v>
      </c>
      <c r="G995">
        <v>0</v>
      </c>
    </row>
    <row r="996" spans="1:7" x14ac:dyDescent="0.25">
      <c r="A996" s="1">
        <v>45017</v>
      </c>
      <c r="B996" t="s">
        <v>26</v>
      </c>
      <c r="C996" t="s">
        <v>40</v>
      </c>
      <c r="D996" s="2">
        <v>3425259.04</v>
      </c>
      <c r="E996" s="2">
        <v>230505.93</v>
      </c>
      <c r="F996">
        <v>505.93</v>
      </c>
      <c r="G996">
        <v>0</v>
      </c>
    </row>
    <row r="997" spans="1:7" x14ac:dyDescent="0.25">
      <c r="A997" s="1">
        <v>45017</v>
      </c>
      <c r="B997" t="s">
        <v>62</v>
      </c>
      <c r="C997" t="s">
        <v>75</v>
      </c>
      <c r="D997" s="2">
        <v>47000</v>
      </c>
      <c r="E997">
        <v>0</v>
      </c>
      <c r="F997">
        <v>0</v>
      </c>
      <c r="G997">
        <v>0</v>
      </c>
    </row>
    <row r="998" spans="1:7" x14ac:dyDescent="0.25">
      <c r="A998" s="1">
        <v>45017</v>
      </c>
      <c r="B998" t="s">
        <v>36</v>
      </c>
      <c r="C998" t="s">
        <v>70</v>
      </c>
      <c r="D998" s="2">
        <v>1788000</v>
      </c>
      <c r="E998" s="2">
        <v>3211514032.1300001</v>
      </c>
      <c r="F998" s="2">
        <v>3215292190.8800001</v>
      </c>
      <c r="G998">
        <v>0</v>
      </c>
    </row>
    <row r="999" spans="1:7" x14ac:dyDescent="0.25">
      <c r="A999" s="1">
        <v>45017</v>
      </c>
      <c r="B999" t="s">
        <v>28</v>
      </c>
      <c r="C999" t="s">
        <v>29</v>
      </c>
      <c r="D999" s="2">
        <v>129120972.48999999</v>
      </c>
      <c r="E999" s="2">
        <v>128858888.98999999</v>
      </c>
      <c r="F999" s="2">
        <v>128741217.75</v>
      </c>
      <c r="G999">
        <v>0</v>
      </c>
    </row>
    <row r="1000" spans="1:7" x14ac:dyDescent="0.25">
      <c r="A1000" s="1">
        <v>45017</v>
      </c>
      <c r="B1000" t="s">
        <v>13</v>
      </c>
      <c r="C1000" t="s">
        <v>12</v>
      </c>
      <c r="D1000" s="2">
        <v>694612.1</v>
      </c>
      <c r="E1000" s="2">
        <v>593561.64</v>
      </c>
      <c r="F1000" s="2">
        <v>593561.64</v>
      </c>
      <c r="G1000">
        <v>260.44</v>
      </c>
    </row>
    <row r="1001" spans="1:7" x14ac:dyDescent="0.25">
      <c r="A1001" s="1">
        <v>45017</v>
      </c>
      <c r="B1001" t="s">
        <v>27</v>
      </c>
      <c r="C1001" t="s">
        <v>57</v>
      </c>
      <c r="D1001" s="2">
        <v>780930.26</v>
      </c>
      <c r="E1001" s="2">
        <v>146712.16</v>
      </c>
      <c r="F1001" s="2">
        <v>147469.56</v>
      </c>
      <c r="G1001">
        <v>0</v>
      </c>
    </row>
    <row r="1002" spans="1:7" x14ac:dyDescent="0.25">
      <c r="A1002" s="1">
        <v>45017</v>
      </c>
      <c r="B1002" t="s">
        <v>54</v>
      </c>
      <c r="C1002" t="s">
        <v>74</v>
      </c>
      <c r="D1002" s="2">
        <v>-2162.04</v>
      </c>
      <c r="E1002">
        <v>0</v>
      </c>
      <c r="F1002">
        <v>0</v>
      </c>
      <c r="G1002" s="2">
        <v>510162.5</v>
      </c>
    </row>
    <row r="1003" spans="1:7" x14ac:dyDescent="0.25">
      <c r="A1003" s="1">
        <v>45017</v>
      </c>
      <c r="B1003" t="s">
        <v>15</v>
      </c>
      <c r="C1003" t="s">
        <v>78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 s="1">
        <v>45017</v>
      </c>
      <c r="B1004" t="s">
        <v>21</v>
      </c>
      <c r="C1004" t="s">
        <v>80</v>
      </c>
      <c r="D1004" s="2">
        <v>30095257</v>
      </c>
      <c r="E1004" s="2">
        <v>15170606.189999999</v>
      </c>
      <c r="F1004" s="2">
        <v>15177112.43</v>
      </c>
      <c r="G1004" s="2">
        <v>15583472.380000001</v>
      </c>
    </row>
    <row r="1005" spans="1:7" x14ac:dyDescent="0.25">
      <c r="A1005" s="1">
        <v>45017</v>
      </c>
      <c r="B1005" t="s">
        <v>54</v>
      </c>
      <c r="C1005" t="s">
        <v>16</v>
      </c>
      <c r="D1005" s="2">
        <v>2341.5700000000002</v>
      </c>
      <c r="E1005" s="2">
        <v>58221.72</v>
      </c>
      <c r="F1005" s="2">
        <v>54627.17</v>
      </c>
      <c r="G1005" s="2">
        <v>7240.22</v>
      </c>
    </row>
    <row r="1006" spans="1:7" x14ac:dyDescent="0.25">
      <c r="A1006" s="1">
        <v>45017</v>
      </c>
      <c r="B1006" t="s">
        <v>17</v>
      </c>
      <c r="C1006" t="s">
        <v>68</v>
      </c>
      <c r="D1006">
        <v>0</v>
      </c>
      <c r="E1006">
        <v>0</v>
      </c>
      <c r="F1006">
        <v>0</v>
      </c>
      <c r="G1006" s="2">
        <v>12800</v>
      </c>
    </row>
    <row r="1007" spans="1:7" x14ac:dyDescent="0.25">
      <c r="A1007" s="1">
        <v>45017</v>
      </c>
      <c r="B1007" t="s">
        <v>28</v>
      </c>
      <c r="C1007" t="s">
        <v>22</v>
      </c>
      <c r="D1007" s="2">
        <v>70104123.519999996</v>
      </c>
      <c r="E1007" s="2">
        <v>70911238.480000004</v>
      </c>
      <c r="F1007" s="2">
        <v>70911238.480000004</v>
      </c>
      <c r="G1007">
        <v>0</v>
      </c>
    </row>
    <row r="1008" spans="1:7" x14ac:dyDescent="0.25">
      <c r="A1008" s="1">
        <v>45017</v>
      </c>
      <c r="B1008" t="s">
        <v>52</v>
      </c>
      <c r="C1008" t="s">
        <v>16</v>
      </c>
      <c r="D1008" s="2">
        <v>110000</v>
      </c>
      <c r="E1008">
        <v>0</v>
      </c>
      <c r="F1008">
        <v>57.83</v>
      </c>
      <c r="G1008" s="2">
        <v>15300</v>
      </c>
    </row>
    <row r="1009" spans="1:7" x14ac:dyDescent="0.25">
      <c r="A1009" s="1">
        <v>45017</v>
      </c>
      <c r="B1009" t="s">
        <v>37</v>
      </c>
      <c r="C1009" t="s">
        <v>50</v>
      </c>
      <c r="D1009" s="2">
        <v>400000</v>
      </c>
      <c r="E1009">
        <v>0</v>
      </c>
      <c r="F1009">
        <v>0</v>
      </c>
      <c r="G1009">
        <v>0</v>
      </c>
    </row>
    <row r="1010" spans="1:7" x14ac:dyDescent="0.25">
      <c r="A1010" s="1">
        <v>45017</v>
      </c>
      <c r="B1010" t="s">
        <v>31</v>
      </c>
      <c r="C1010" t="s">
        <v>82</v>
      </c>
      <c r="D1010" s="2">
        <v>50600000000</v>
      </c>
      <c r="E1010" s="2">
        <v>46435676838.559998</v>
      </c>
      <c r="F1010" s="2">
        <v>46435676838.559998</v>
      </c>
      <c r="G1010">
        <v>0</v>
      </c>
    </row>
    <row r="1011" spans="1:7" x14ac:dyDescent="0.25">
      <c r="A1011" s="1">
        <v>45017</v>
      </c>
      <c r="B1011" t="s">
        <v>45</v>
      </c>
      <c r="C1011" t="s">
        <v>10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 s="1">
        <v>45017</v>
      </c>
      <c r="B1012" t="s">
        <v>23</v>
      </c>
      <c r="C1012" t="s">
        <v>64</v>
      </c>
      <c r="D1012" s="2">
        <v>311693.32</v>
      </c>
      <c r="E1012" s="2">
        <v>296681.49</v>
      </c>
      <c r="F1012" s="2">
        <v>556286.68000000005</v>
      </c>
      <c r="G1012" s="2">
        <v>1231058.1100000001</v>
      </c>
    </row>
    <row r="1013" spans="1:7" x14ac:dyDescent="0.25">
      <c r="A1013" s="1">
        <v>45017</v>
      </c>
      <c r="B1013" t="s">
        <v>36</v>
      </c>
      <c r="C1013" t="s">
        <v>57</v>
      </c>
      <c r="D1013">
        <v>0</v>
      </c>
      <c r="E1013" s="2">
        <v>2938466.24</v>
      </c>
      <c r="F1013" s="2">
        <v>2938466.24</v>
      </c>
      <c r="G1013" s="2">
        <v>2702371.12</v>
      </c>
    </row>
    <row r="1014" spans="1:7" x14ac:dyDescent="0.25">
      <c r="A1014" s="1">
        <v>45017</v>
      </c>
      <c r="B1014" t="s">
        <v>15</v>
      </c>
      <c r="C1014" t="s">
        <v>25</v>
      </c>
      <c r="D1014" s="2">
        <v>4029078.53</v>
      </c>
      <c r="E1014" s="2">
        <v>45879.78</v>
      </c>
      <c r="F1014" s="2">
        <v>45879.78</v>
      </c>
      <c r="G1014" s="2">
        <v>114912</v>
      </c>
    </row>
    <row r="1015" spans="1:7" x14ac:dyDescent="0.25">
      <c r="A1015" s="1">
        <v>45017</v>
      </c>
      <c r="B1015" t="s">
        <v>83</v>
      </c>
      <c r="C1015" t="s">
        <v>42</v>
      </c>
      <c r="D1015" s="2">
        <v>1500</v>
      </c>
      <c r="E1015" s="2">
        <v>51777.87</v>
      </c>
      <c r="F1015" s="2">
        <v>56598.58</v>
      </c>
      <c r="G1015" s="2">
        <v>2800</v>
      </c>
    </row>
    <row r="1016" spans="1:7" x14ac:dyDescent="0.25">
      <c r="A1016" s="1">
        <v>45017</v>
      </c>
      <c r="B1016" t="s">
        <v>15</v>
      </c>
      <c r="C1016" t="s">
        <v>12</v>
      </c>
      <c r="D1016" s="2">
        <v>265880.43</v>
      </c>
      <c r="E1016" s="2">
        <v>131652.88</v>
      </c>
      <c r="F1016" s="2">
        <v>133812.35</v>
      </c>
      <c r="G1016" s="2">
        <v>12000</v>
      </c>
    </row>
    <row r="1017" spans="1:7" x14ac:dyDescent="0.25">
      <c r="A1017" s="1">
        <v>45017</v>
      </c>
      <c r="B1017" t="s">
        <v>69</v>
      </c>
      <c r="C1017" t="s">
        <v>84</v>
      </c>
      <c r="D1017">
        <v>0</v>
      </c>
      <c r="E1017">
        <v>0</v>
      </c>
      <c r="F1017">
        <v>0</v>
      </c>
      <c r="G1017" s="2">
        <v>56762.21</v>
      </c>
    </row>
    <row r="1018" spans="1:7" x14ac:dyDescent="0.25">
      <c r="A1018" s="1">
        <v>45017</v>
      </c>
      <c r="B1018" t="s">
        <v>87</v>
      </c>
      <c r="C1018" t="s">
        <v>77</v>
      </c>
      <c r="D1018" s="2">
        <v>15000</v>
      </c>
      <c r="E1018" s="2">
        <v>8935.82</v>
      </c>
      <c r="F1018" s="2">
        <v>44196.46</v>
      </c>
      <c r="G1018" s="2">
        <v>17698455.219999999</v>
      </c>
    </row>
    <row r="1019" spans="1:7" x14ac:dyDescent="0.25">
      <c r="A1019" s="1">
        <v>45017</v>
      </c>
      <c r="B1019" t="s">
        <v>91</v>
      </c>
      <c r="C1019" t="s">
        <v>51</v>
      </c>
      <c r="D1019" s="2">
        <v>55000</v>
      </c>
      <c r="E1019" s="2">
        <v>58114.23</v>
      </c>
      <c r="F1019" s="2">
        <v>76614.83</v>
      </c>
      <c r="G1019">
        <v>0</v>
      </c>
    </row>
    <row r="1020" spans="1:7" x14ac:dyDescent="0.25">
      <c r="A1020" s="1">
        <v>45017</v>
      </c>
      <c r="B1020" t="s">
        <v>43</v>
      </c>
      <c r="C1020" t="s">
        <v>44</v>
      </c>
      <c r="D1020" s="2">
        <v>4827315</v>
      </c>
      <c r="E1020" s="2">
        <v>5368.3</v>
      </c>
      <c r="F1020" s="2">
        <v>5929.27</v>
      </c>
      <c r="G1020" s="2">
        <v>930368.33</v>
      </c>
    </row>
    <row r="1021" spans="1:7" x14ac:dyDescent="0.25">
      <c r="A1021" s="1">
        <v>45017</v>
      </c>
      <c r="B1021" t="s">
        <v>45</v>
      </c>
      <c r="C1021" t="s">
        <v>46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 s="1">
        <v>45017</v>
      </c>
      <c r="B1022" t="s">
        <v>13</v>
      </c>
      <c r="C1022" t="s">
        <v>59</v>
      </c>
      <c r="D1022" s="2">
        <v>100000</v>
      </c>
      <c r="E1022" s="2">
        <v>38498.68</v>
      </c>
      <c r="F1022" s="2">
        <v>38498.68</v>
      </c>
      <c r="G1022" s="2">
        <v>31540</v>
      </c>
    </row>
    <row r="1023" spans="1:7" x14ac:dyDescent="0.25">
      <c r="A1023" s="1">
        <v>45017</v>
      </c>
      <c r="B1023" t="s">
        <v>28</v>
      </c>
      <c r="C1023" t="s">
        <v>99</v>
      </c>
      <c r="D1023" s="2">
        <v>7884344.29</v>
      </c>
      <c r="E1023" s="2">
        <v>5173961.8099999996</v>
      </c>
      <c r="F1023" s="2">
        <v>5271363.17</v>
      </c>
      <c r="G1023">
        <v>0</v>
      </c>
    </row>
    <row r="1024" spans="1:7" x14ac:dyDescent="0.25">
      <c r="A1024" s="1">
        <v>45017</v>
      </c>
      <c r="B1024" t="s">
        <v>28</v>
      </c>
      <c r="C1024" t="s">
        <v>25</v>
      </c>
      <c r="D1024">
        <v>0</v>
      </c>
      <c r="E1024">
        <v>0</v>
      </c>
      <c r="F1024">
        <v>0</v>
      </c>
      <c r="G1024" s="2">
        <v>13763.01</v>
      </c>
    </row>
    <row r="1025" spans="1:7" x14ac:dyDescent="0.25">
      <c r="A1025" s="1">
        <v>45017</v>
      </c>
      <c r="B1025" t="s">
        <v>13</v>
      </c>
      <c r="C1025" t="s">
        <v>22</v>
      </c>
      <c r="D1025" s="2">
        <v>108381.98</v>
      </c>
      <c r="E1025" s="2">
        <v>13907640.98</v>
      </c>
      <c r="F1025" s="2">
        <v>13905649.07</v>
      </c>
      <c r="G1025">
        <v>0</v>
      </c>
    </row>
    <row r="1026" spans="1:7" x14ac:dyDescent="0.25">
      <c r="A1026" s="1">
        <v>45017</v>
      </c>
      <c r="B1026" t="s">
        <v>33</v>
      </c>
      <c r="C1026" t="s">
        <v>78</v>
      </c>
      <c r="D1026">
        <v>0</v>
      </c>
      <c r="E1026">
        <v>0</v>
      </c>
      <c r="F1026">
        <v>0</v>
      </c>
      <c r="G1026" s="2">
        <v>2319963.42</v>
      </c>
    </row>
    <row r="1027" spans="1:7" x14ac:dyDescent="0.25">
      <c r="A1027" s="1">
        <v>45017</v>
      </c>
      <c r="B1027" t="s">
        <v>28</v>
      </c>
      <c r="C1027" t="s">
        <v>14</v>
      </c>
      <c r="D1027" s="2">
        <v>146282949.11000001</v>
      </c>
      <c r="E1027" s="2">
        <v>25823123.789999999</v>
      </c>
      <c r="F1027" s="2">
        <v>25823123.789999999</v>
      </c>
      <c r="G1027" s="2">
        <v>24433334.460000001</v>
      </c>
    </row>
    <row r="1028" spans="1:7" x14ac:dyDescent="0.25">
      <c r="A1028" s="1">
        <v>45017</v>
      </c>
      <c r="B1028" t="s">
        <v>13</v>
      </c>
      <c r="C1028" t="s">
        <v>71</v>
      </c>
      <c r="D1028" s="2">
        <v>-1592.7</v>
      </c>
      <c r="E1028" s="2">
        <v>18907.3</v>
      </c>
      <c r="F1028" s="2">
        <v>18907.3</v>
      </c>
      <c r="G1028" s="2">
        <v>7421.64</v>
      </c>
    </row>
    <row r="1029" spans="1:7" x14ac:dyDescent="0.25">
      <c r="A1029" s="1">
        <v>45017</v>
      </c>
      <c r="B1029" t="s">
        <v>47</v>
      </c>
      <c r="C1029" t="s">
        <v>24</v>
      </c>
      <c r="D1029" s="2">
        <v>418365.22</v>
      </c>
      <c r="E1029" s="2">
        <v>552282.21</v>
      </c>
      <c r="F1029" s="2">
        <v>552282.21</v>
      </c>
      <c r="G1029">
        <v>0</v>
      </c>
    </row>
    <row r="1030" spans="1:7" x14ac:dyDescent="0.25">
      <c r="A1030" s="1">
        <v>45017</v>
      </c>
      <c r="B1030" t="s">
        <v>17</v>
      </c>
      <c r="C1030" t="s">
        <v>86</v>
      </c>
      <c r="D1030" s="2">
        <v>16184733.689999999</v>
      </c>
      <c r="E1030" s="2">
        <v>478501.49</v>
      </c>
      <c r="F1030" s="2">
        <v>540788.39</v>
      </c>
      <c r="G1030" s="2">
        <v>78183.56</v>
      </c>
    </row>
    <row r="1031" spans="1:7" x14ac:dyDescent="0.25">
      <c r="A1031" s="1">
        <v>45017</v>
      </c>
      <c r="B1031" t="s">
        <v>15</v>
      </c>
      <c r="C1031" t="s">
        <v>79</v>
      </c>
      <c r="D1031" s="2">
        <v>1657388.81</v>
      </c>
      <c r="E1031" s="2">
        <v>88091.58</v>
      </c>
      <c r="F1031" s="2">
        <v>100383.36</v>
      </c>
      <c r="G1031">
        <v>0</v>
      </c>
    </row>
    <row r="1032" spans="1:7" x14ac:dyDescent="0.25">
      <c r="A1032" s="1">
        <v>45017</v>
      </c>
      <c r="B1032" t="s">
        <v>21</v>
      </c>
      <c r="C1032" t="s">
        <v>39</v>
      </c>
      <c r="D1032">
        <v>0</v>
      </c>
      <c r="E1032">
        <v>0</v>
      </c>
      <c r="F1032">
        <v>0</v>
      </c>
      <c r="G1032" s="2">
        <v>3403483.52</v>
      </c>
    </row>
    <row r="1033" spans="1:7" x14ac:dyDescent="0.25">
      <c r="A1033" s="1">
        <v>45017</v>
      </c>
      <c r="B1033" t="s">
        <v>43</v>
      </c>
      <c r="C1033" t="s">
        <v>22</v>
      </c>
      <c r="D1033" s="2">
        <v>2689394.63</v>
      </c>
      <c r="E1033" s="2">
        <v>7976525.7800000003</v>
      </c>
      <c r="F1033" s="2">
        <v>7971458.0899999999</v>
      </c>
      <c r="G1033">
        <v>0</v>
      </c>
    </row>
    <row r="1034" spans="1:7" x14ac:dyDescent="0.25">
      <c r="A1034" s="1">
        <v>45017</v>
      </c>
      <c r="B1034" t="s">
        <v>54</v>
      </c>
      <c r="C1034" t="s">
        <v>102</v>
      </c>
      <c r="D1034" s="2">
        <v>4123699.86</v>
      </c>
      <c r="E1034" s="2">
        <v>3007590.15</v>
      </c>
      <c r="F1034" s="2">
        <v>2905303.14</v>
      </c>
      <c r="G1034" s="2">
        <v>1102879.1399999999</v>
      </c>
    </row>
    <row r="1035" spans="1:7" x14ac:dyDescent="0.25">
      <c r="A1035" s="1">
        <v>45017</v>
      </c>
      <c r="B1035" t="s">
        <v>23</v>
      </c>
      <c r="C1035" t="s">
        <v>79</v>
      </c>
      <c r="D1035" s="2">
        <v>308363.05</v>
      </c>
      <c r="E1035" s="2">
        <v>780752.79</v>
      </c>
      <c r="F1035" s="2">
        <v>5885395.3300000001</v>
      </c>
      <c r="G1035" s="2">
        <v>2313291.06</v>
      </c>
    </row>
    <row r="1036" spans="1:7" x14ac:dyDescent="0.25">
      <c r="A1036" s="1">
        <v>45017</v>
      </c>
      <c r="B1036" t="s">
        <v>69</v>
      </c>
      <c r="C1036" t="s">
        <v>72</v>
      </c>
      <c r="D1036" s="2">
        <v>374306.45</v>
      </c>
      <c r="E1036" s="2">
        <v>5266258.17</v>
      </c>
      <c r="F1036" s="2">
        <v>4232140.93</v>
      </c>
      <c r="G1036">
        <v>0</v>
      </c>
    </row>
    <row r="1037" spans="1:7" x14ac:dyDescent="0.25">
      <c r="A1037" s="1">
        <v>45017</v>
      </c>
      <c r="B1037" t="s">
        <v>36</v>
      </c>
      <c r="C1037" t="s">
        <v>72</v>
      </c>
      <c r="D1037">
        <v>0</v>
      </c>
      <c r="E1037">
        <v>0</v>
      </c>
      <c r="F1037">
        <v>0</v>
      </c>
      <c r="G1037" s="2">
        <v>12313</v>
      </c>
    </row>
    <row r="1038" spans="1:7" x14ac:dyDescent="0.25">
      <c r="A1038" s="1">
        <v>45017</v>
      </c>
      <c r="B1038" t="s">
        <v>15</v>
      </c>
      <c r="C1038" t="s">
        <v>88</v>
      </c>
      <c r="D1038" s="2">
        <v>18881345.98</v>
      </c>
      <c r="E1038" s="2">
        <v>1545743.83</v>
      </c>
      <c r="F1038" s="2">
        <v>1505058.94</v>
      </c>
      <c r="G1038" s="2">
        <v>5875.5</v>
      </c>
    </row>
    <row r="1039" spans="1:7" x14ac:dyDescent="0.25">
      <c r="A1039" s="1">
        <v>45017</v>
      </c>
      <c r="B1039" t="s">
        <v>26</v>
      </c>
      <c r="C1039" t="s">
        <v>24</v>
      </c>
      <c r="D1039" s="2">
        <v>33342.6</v>
      </c>
      <c r="E1039" s="2">
        <v>4908.67</v>
      </c>
      <c r="F1039" s="2">
        <v>5680.41</v>
      </c>
      <c r="G1039" s="2">
        <v>3850.31</v>
      </c>
    </row>
    <row r="1040" spans="1:7" x14ac:dyDescent="0.25">
      <c r="A1040" s="1">
        <v>45017</v>
      </c>
      <c r="B1040" t="s">
        <v>91</v>
      </c>
      <c r="C1040" t="s">
        <v>14</v>
      </c>
      <c r="D1040" s="2">
        <v>41875521.630000003</v>
      </c>
      <c r="E1040" s="2">
        <v>8861611.5500000007</v>
      </c>
      <c r="F1040" s="2">
        <v>10424200.279999999</v>
      </c>
      <c r="G1040" s="2">
        <v>7898015.9699999997</v>
      </c>
    </row>
    <row r="1041" spans="1:7" x14ac:dyDescent="0.25">
      <c r="A1041" s="1">
        <v>45017</v>
      </c>
      <c r="B1041" t="s">
        <v>21</v>
      </c>
      <c r="C1041" t="s">
        <v>57</v>
      </c>
      <c r="D1041" s="2">
        <v>-106107.17</v>
      </c>
      <c r="E1041" s="2">
        <v>592288.13</v>
      </c>
      <c r="F1041" s="2">
        <v>584385.30000000005</v>
      </c>
      <c r="G1041" s="2">
        <v>1391316.24</v>
      </c>
    </row>
    <row r="1042" spans="1:7" x14ac:dyDescent="0.25">
      <c r="A1042" s="1">
        <v>45017</v>
      </c>
      <c r="B1042" t="s">
        <v>69</v>
      </c>
      <c r="C1042" t="s">
        <v>34</v>
      </c>
      <c r="D1042" s="2">
        <v>96618.89</v>
      </c>
      <c r="E1042" s="2">
        <v>95624.01</v>
      </c>
      <c r="F1042" s="2">
        <v>44667.62</v>
      </c>
      <c r="G1042" s="2">
        <v>58731.8</v>
      </c>
    </row>
    <row r="1043" spans="1:7" x14ac:dyDescent="0.25">
      <c r="A1043" s="1">
        <v>45017</v>
      </c>
      <c r="B1043" t="s">
        <v>31</v>
      </c>
      <c r="C1043" t="s">
        <v>92</v>
      </c>
      <c r="D1043" s="2">
        <v>9343548518.0699997</v>
      </c>
      <c r="E1043" s="2">
        <v>6371329634.6800003</v>
      </c>
      <c r="F1043" s="2">
        <v>6371329634.6800003</v>
      </c>
      <c r="G1043" s="2">
        <v>169998.62</v>
      </c>
    </row>
    <row r="1044" spans="1:7" x14ac:dyDescent="0.25">
      <c r="A1044" s="1">
        <v>45017</v>
      </c>
      <c r="B1044" t="s">
        <v>47</v>
      </c>
      <c r="C1044" t="s">
        <v>16</v>
      </c>
      <c r="D1044" s="2">
        <v>79848761.799999997</v>
      </c>
      <c r="E1044" s="2">
        <v>1307998.97</v>
      </c>
      <c r="F1044" s="2">
        <v>1307998.97</v>
      </c>
      <c r="G1044" s="2">
        <v>35445397.140000001</v>
      </c>
    </row>
    <row r="1045" spans="1:7" x14ac:dyDescent="0.25">
      <c r="A1045" s="1">
        <v>45017</v>
      </c>
      <c r="B1045" t="s">
        <v>15</v>
      </c>
      <c r="C1045" t="s">
        <v>72</v>
      </c>
      <c r="D1045">
        <v>0</v>
      </c>
      <c r="E1045" s="2">
        <v>2491275.94</v>
      </c>
      <c r="F1045" s="2">
        <v>2130199.61</v>
      </c>
      <c r="G1045">
        <v>0</v>
      </c>
    </row>
    <row r="1046" spans="1:7" x14ac:dyDescent="0.25">
      <c r="A1046" s="1">
        <v>45017</v>
      </c>
      <c r="B1046" t="s">
        <v>69</v>
      </c>
      <c r="C1046" t="s">
        <v>12</v>
      </c>
      <c r="D1046" s="2">
        <v>100276.62</v>
      </c>
      <c r="E1046" s="2">
        <v>103654.66</v>
      </c>
      <c r="F1046" s="2">
        <v>47647.1</v>
      </c>
      <c r="G1046">
        <v>0</v>
      </c>
    </row>
    <row r="1047" spans="1:7" x14ac:dyDescent="0.25">
      <c r="A1047" s="1">
        <v>45017</v>
      </c>
      <c r="B1047" t="s">
        <v>41</v>
      </c>
      <c r="C1047" t="s">
        <v>85</v>
      </c>
      <c r="D1047" s="2">
        <v>16026.78</v>
      </c>
      <c r="E1047" s="2">
        <v>17387.96</v>
      </c>
      <c r="F1047" s="2">
        <v>123863.59</v>
      </c>
      <c r="G1047" s="2">
        <v>35208.83</v>
      </c>
    </row>
    <row r="1048" spans="1:7" x14ac:dyDescent="0.25">
      <c r="A1048" s="1">
        <v>45017</v>
      </c>
      <c r="B1048" t="s">
        <v>62</v>
      </c>
      <c r="C1048" t="s">
        <v>12</v>
      </c>
      <c r="D1048" s="2">
        <v>34561.06</v>
      </c>
      <c r="E1048" s="2">
        <v>35370.9</v>
      </c>
      <c r="F1048" s="2">
        <v>35670.9</v>
      </c>
      <c r="G1048">
        <v>0</v>
      </c>
    </row>
    <row r="1049" spans="1:7" x14ac:dyDescent="0.25">
      <c r="A1049" s="1">
        <v>45017</v>
      </c>
      <c r="B1049" t="s">
        <v>17</v>
      </c>
      <c r="C1049" t="s">
        <v>59</v>
      </c>
      <c r="D1049" s="2">
        <v>55140.02</v>
      </c>
      <c r="E1049">
        <v>266.44</v>
      </c>
      <c r="F1049">
        <v>266.44</v>
      </c>
      <c r="G1049" s="2">
        <v>879212.05</v>
      </c>
    </row>
    <row r="1050" spans="1:7" x14ac:dyDescent="0.25">
      <c r="A1050" s="1">
        <v>45017</v>
      </c>
      <c r="B1050" t="s">
        <v>33</v>
      </c>
      <c r="C1050" t="s">
        <v>14</v>
      </c>
      <c r="D1050" s="2">
        <v>1225829554.9200001</v>
      </c>
      <c r="E1050" s="2">
        <v>109145485.15000001</v>
      </c>
      <c r="F1050" s="2">
        <v>109126340.17</v>
      </c>
      <c r="G1050" s="2">
        <v>30955313.239999998</v>
      </c>
    </row>
    <row r="1051" spans="1:7" x14ac:dyDescent="0.25">
      <c r="A1051" s="1">
        <v>45017</v>
      </c>
      <c r="B1051" t="s">
        <v>23</v>
      </c>
      <c r="C1051" t="s">
        <v>103</v>
      </c>
      <c r="D1051" s="2">
        <v>9028727.2200000007</v>
      </c>
      <c r="E1051" s="2">
        <v>7232799.9299999997</v>
      </c>
      <c r="F1051" s="2">
        <v>2996190.53</v>
      </c>
      <c r="G1051" s="2">
        <v>9097070.1099999994</v>
      </c>
    </row>
    <row r="1052" spans="1:7" x14ac:dyDescent="0.25">
      <c r="A1052" s="1">
        <v>45017</v>
      </c>
      <c r="B1052" t="s">
        <v>33</v>
      </c>
      <c r="C1052" t="s">
        <v>35</v>
      </c>
      <c r="D1052" s="2">
        <v>95000000</v>
      </c>
      <c r="E1052" s="2">
        <v>3664353.8</v>
      </c>
      <c r="F1052" s="2">
        <v>4508839.04</v>
      </c>
      <c r="G1052" s="2">
        <v>38155594.759999998</v>
      </c>
    </row>
    <row r="1053" spans="1:7" x14ac:dyDescent="0.25">
      <c r="A1053" s="1">
        <v>45017</v>
      </c>
      <c r="B1053" t="s">
        <v>37</v>
      </c>
      <c r="C1053" t="s">
        <v>22</v>
      </c>
      <c r="D1053" s="2">
        <v>2960000</v>
      </c>
      <c r="E1053" s="2">
        <v>5508099.8499999996</v>
      </c>
      <c r="F1053" s="2">
        <v>5508099.8499999996</v>
      </c>
      <c r="G1053">
        <v>0</v>
      </c>
    </row>
    <row r="1054" spans="1:7" x14ac:dyDescent="0.25">
      <c r="A1054" s="1">
        <v>45017</v>
      </c>
      <c r="B1054" t="s">
        <v>52</v>
      </c>
      <c r="C1054" t="s">
        <v>22</v>
      </c>
      <c r="D1054" s="2">
        <v>2100000</v>
      </c>
      <c r="E1054" s="2">
        <v>1813380.44</v>
      </c>
      <c r="F1054" s="2">
        <v>1854865.52</v>
      </c>
      <c r="G1054">
        <v>0</v>
      </c>
    </row>
    <row r="1055" spans="1:7" x14ac:dyDescent="0.25">
      <c r="A1055" s="1">
        <v>45017</v>
      </c>
      <c r="B1055" t="s">
        <v>91</v>
      </c>
      <c r="C1055" t="s">
        <v>111</v>
      </c>
      <c r="D1055" s="2">
        <v>4003611.84</v>
      </c>
      <c r="E1055" s="2">
        <v>521675.68</v>
      </c>
      <c r="F1055" s="2">
        <v>473751.88</v>
      </c>
      <c r="G1055" s="2">
        <v>3002471.54</v>
      </c>
    </row>
    <row r="1056" spans="1:7" x14ac:dyDescent="0.25">
      <c r="A1056" s="1">
        <v>45017</v>
      </c>
      <c r="B1056" t="s">
        <v>13</v>
      </c>
      <c r="C1056" t="s">
        <v>39</v>
      </c>
      <c r="D1056">
        <v>0</v>
      </c>
      <c r="E1056">
        <v>0</v>
      </c>
      <c r="F1056">
        <v>0</v>
      </c>
      <c r="G1056" s="2">
        <v>3655096.04</v>
      </c>
    </row>
    <row r="1057" spans="1:7" x14ac:dyDescent="0.25">
      <c r="A1057" s="1">
        <v>45017</v>
      </c>
      <c r="B1057" t="s">
        <v>13</v>
      </c>
      <c r="C1057" t="s">
        <v>78</v>
      </c>
      <c r="D1057">
        <v>0</v>
      </c>
      <c r="E1057">
        <v>0</v>
      </c>
      <c r="F1057">
        <v>0</v>
      </c>
      <c r="G1057" s="2">
        <v>134996.07999999999</v>
      </c>
    </row>
    <row r="1058" spans="1:7" x14ac:dyDescent="0.25">
      <c r="A1058" s="1">
        <v>45017</v>
      </c>
      <c r="B1058" t="s">
        <v>33</v>
      </c>
      <c r="C1058" t="s">
        <v>94</v>
      </c>
      <c r="D1058" s="2">
        <v>618088.5</v>
      </c>
      <c r="E1058" s="2">
        <v>371343.17</v>
      </c>
      <c r="F1058" s="2">
        <v>369718.67</v>
      </c>
      <c r="G1058" s="2">
        <v>211645.08</v>
      </c>
    </row>
    <row r="1059" spans="1:7" x14ac:dyDescent="0.25">
      <c r="A1059" s="1">
        <v>45017</v>
      </c>
      <c r="B1059" t="s">
        <v>65</v>
      </c>
      <c r="C1059" t="s">
        <v>22</v>
      </c>
      <c r="D1059" s="2">
        <v>4922791</v>
      </c>
      <c r="E1059" s="2">
        <v>604364.69999999995</v>
      </c>
      <c r="F1059" s="2">
        <v>604364.69999999995</v>
      </c>
      <c r="G1059">
        <v>0</v>
      </c>
    </row>
    <row r="1060" spans="1:7" x14ac:dyDescent="0.25">
      <c r="A1060" s="1">
        <v>45017</v>
      </c>
      <c r="B1060" t="s">
        <v>9</v>
      </c>
      <c r="C1060" t="s">
        <v>24</v>
      </c>
      <c r="D1060" s="2">
        <v>758805.11</v>
      </c>
      <c r="E1060">
        <v>0</v>
      </c>
      <c r="F1060">
        <v>0</v>
      </c>
      <c r="G1060" s="2">
        <v>563720.23</v>
      </c>
    </row>
    <row r="1061" spans="1:7" x14ac:dyDescent="0.25">
      <c r="A1061" s="1">
        <v>45017</v>
      </c>
      <c r="B1061" t="s">
        <v>23</v>
      </c>
      <c r="C1061" t="s">
        <v>77</v>
      </c>
      <c r="D1061" s="2">
        <v>-5000</v>
      </c>
      <c r="E1061">
        <v>0</v>
      </c>
      <c r="F1061" s="2">
        <v>11374.91</v>
      </c>
      <c r="G1061" s="2">
        <v>1150999.96</v>
      </c>
    </row>
    <row r="1062" spans="1:7" x14ac:dyDescent="0.25">
      <c r="A1062" s="1">
        <v>45017</v>
      </c>
      <c r="B1062" t="s">
        <v>36</v>
      </c>
      <c r="C1062" t="s">
        <v>75</v>
      </c>
      <c r="D1062" s="2">
        <v>151183.6</v>
      </c>
      <c r="E1062" s="2">
        <v>190561.56</v>
      </c>
      <c r="F1062" s="2">
        <v>204957.97</v>
      </c>
      <c r="G1062">
        <v>0</v>
      </c>
    </row>
    <row r="1063" spans="1:7" x14ac:dyDescent="0.25">
      <c r="A1063" s="1">
        <v>45017</v>
      </c>
      <c r="B1063" t="s">
        <v>31</v>
      </c>
      <c r="C1063" t="s">
        <v>97</v>
      </c>
      <c r="D1063" s="2">
        <v>-19630500</v>
      </c>
      <c r="E1063" s="2">
        <v>6983096658.9899998</v>
      </c>
      <c r="F1063" s="2">
        <v>6983096658.9899998</v>
      </c>
      <c r="G1063">
        <v>0</v>
      </c>
    </row>
    <row r="1064" spans="1:7" x14ac:dyDescent="0.25">
      <c r="A1064" s="1">
        <v>45017</v>
      </c>
      <c r="B1064" t="s">
        <v>33</v>
      </c>
      <c r="C1064" t="s">
        <v>55</v>
      </c>
      <c r="D1064" s="2">
        <v>16320.56</v>
      </c>
      <c r="E1064" s="2">
        <v>32300</v>
      </c>
      <c r="F1064" s="2">
        <v>31474.18</v>
      </c>
      <c r="G1064" s="2">
        <v>108113.15</v>
      </c>
    </row>
    <row r="1065" spans="1:7" x14ac:dyDescent="0.25">
      <c r="A1065" s="1">
        <v>45017</v>
      </c>
      <c r="B1065" t="s">
        <v>9</v>
      </c>
      <c r="C1065" t="s">
        <v>72</v>
      </c>
      <c r="D1065" s="2">
        <v>7883445.3700000001</v>
      </c>
      <c r="E1065" s="2">
        <v>36631276.079999998</v>
      </c>
      <c r="F1065" s="2">
        <v>30800887.670000002</v>
      </c>
      <c r="G1065">
        <v>0</v>
      </c>
    </row>
    <row r="1066" spans="1:7" x14ac:dyDescent="0.25">
      <c r="A1066" s="1">
        <v>45017</v>
      </c>
      <c r="B1066" t="s">
        <v>23</v>
      </c>
      <c r="C1066" t="s">
        <v>90</v>
      </c>
      <c r="D1066" s="2">
        <v>975700</v>
      </c>
      <c r="E1066" s="2">
        <v>450068.23</v>
      </c>
      <c r="F1066" s="2">
        <v>12568.23</v>
      </c>
      <c r="G1066">
        <v>0</v>
      </c>
    </row>
    <row r="1067" spans="1:7" x14ac:dyDescent="0.25">
      <c r="A1067" s="1">
        <v>45017</v>
      </c>
      <c r="B1067" t="s">
        <v>9</v>
      </c>
      <c r="C1067" t="s">
        <v>106</v>
      </c>
      <c r="D1067" s="2">
        <v>24090562.98</v>
      </c>
      <c r="E1067" s="2">
        <v>2351777.31</v>
      </c>
      <c r="F1067" s="2">
        <v>2361052.42</v>
      </c>
      <c r="G1067" s="2">
        <v>1146557</v>
      </c>
    </row>
    <row r="1068" spans="1:7" x14ac:dyDescent="0.25">
      <c r="A1068" s="1">
        <v>45017</v>
      </c>
      <c r="B1068" t="s">
        <v>7</v>
      </c>
      <c r="C1068" t="s">
        <v>97</v>
      </c>
      <c r="D1068" s="2">
        <v>834446609.75999999</v>
      </c>
      <c r="E1068" s="2">
        <v>3025013776.7399998</v>
      </c>
      <c r="F1068" s="2">
        <v>3025013776.7399998</v>
      </c>
      <c r="G1068">
        <v>0</v>
      </c>
    </row>
    <row r="1069" spans="1:7" x14ac:dyDescent="0.25">
      <c r="A1069" s="1">
        <v>45017</v>
      </c>
      <c r="B1069" t="s">
        <v>7</v>
      </c>
      <c r="C1069" t="s">
        <v>78</v>
      </c>
      <c r="D1069">
        <v>0</v>
      </c>
      <c r="E1069">
        <v>0</v>
      </c>
      <c r="F1069">
        <v>0</v>
      </c>
      <c r="G1069" s="2">
        <v>159062.81</v>
      </c>
    </row>
    <row r="1070" spans="1:7" x14ac:dyDescent="0.25">
      <c r="A1070" s="1">
        <v>45017</v>
      </c>
      <c r="B1070" t="s">
        <v>31</v>
      </c>
      <c r="C1070" t="s">
        <v>53</v>
      </c>
      <c r="D1070" s="2">
        <v>1476045984.8699999</v>
      </c>
      <c r="E1070" s="2">
        <v>1476045984.8699999</v>
      </c>
      <c r="F1070" s="2">
        <v>1476045984.8699999</v>
      </c>
      <c r="G1070">
        <v>0</v>
      </c>
    </row>
    <row r="1071" spans="1:7" x14ac:dyDescent="0.25">
      <c r="A1071" s="1">
        <v>45017</v>
      </c>
      <c r="B1071" t="s">
        <v>65</v>
      </c>
      <c r="C1071" t="s">
        <v>34</v>
      </c>
      <c r="D1071" s="2">
        <v>216099.38</v>
      </c>
      <c r="E1071" s="2">
        <v>2371.91</v>
      </c>
      <c r="F1071" s="2">
        <v>5208.28</v>
      </c>
      <c r="G1071" s="2">
        <v>1252162.44</v>
      </c>
    </row>
    <row r="1072" spans="1:7" x14ac:dyDescent="0.25">
      <c r="A1072" s="1">
        <v>45017</v>
      </c>
      <c r="B1072" t="s">
        <v>43</v>
      </c>
      <c r="C1072" t="s">
        <v>75</v>
      </c>
      <c r="D1072" s="2">
        <v>43926161.340000004</v>
      </c>
      <c r="E1072" s="2">
        <v>32824885.100000001</v>
      </c>
      <c r="F1072" s="2">
        <v>32905958.109999999</v>
      </c>
      <c r="G1072" s="2">
        <v>1365412.03</v>
      </c>
    </row>
    <row r="1073" spans="1:7" x14ac:dyDescent="0.25">
      <c r="A1073" s="1">
        <v>45017</v>
      </c>
      <c r="B1073" t="s">
        <v>21</v>
      </c>
      <c r="C1073" t="s">
        <v>84</v>
      </c>
      <c r="D1073" s="2">
        <v>48428768.340000004</v>
      </c>
      <c r="E1073" s="2">
        <v>531372.35</v>
      </c>
      <c r="F1073" s="2">
        <v>529997.54</v>
      </c>
      <c r="G1073" s="2">
        <v>41309386.219999999</v>
      </c>
    </row>
    <row r="1074" spans="1:7" x14ac:dyDescent="0.25">
      <c r="A1074" s="1">
        <v>45017</v>
      </c>
      <c r="B1074" t="s">
        <v>47</v>
      </c>
      <c r="C1074" t="s">
        <v>72</v>
      </c>
      <c r="D1074" s="2">
        <v>6953235.5800000001</v>
      </c>
      <c r="E1074" s="2">
        <v>2368625.14</v>
      </c>
      <c r="F1074" s="2">
        <v>1633113.5</v>
      </c>
      <c r="G1074">
        <v>0</v>
      </c>
    </row>
    <row r="1075" spans="1:7" x14ac:dyDescent="0.25">
      <c r="A1075" s="1">
        <v>45017</v>
      </c>
      <c r="B1075" t="s">
        <v>7</v>
      </c>
      <c r="C1075" t="s">
        <v>94</v>
      </c>
      <c r="D1075" s="2">
        <v>43000000</v>
      </c>
      <c r="E1075" s="2">
        <v>2243789.62</v>
      </c>
      <c r="F1075" s="2">
        <v>2243789.62</v>
      </c>
      <c r="G1075">
        <v>0</v>
      </c>
    </row>
    <row r="1076" spans="1:7" x14ac:dyDescent="0.25">
      <c r="A1076" s="1">
        <v>45017</v>
      </c>
      <c r="B1076" t="s">
        <v>43</v>
      </c>
      <c r="C1076" t="s">
        <v>50</v>
      </c>
      <c r="D1076" s="2">
        <v>39153.46</v>
      </c>
      <c r="E1076">
        <v>0</v>
      </c>
      <c r="F1076">
        <v>0</v>
      </c>
      <c r="G1076">
        <v>0</v>
      </c>
    </row>
    <row r="1077" spans="1:7" x14ac:dyDescent="0.25">
      <c r="A1077" s="1">
        <v>45017</v>
      </c>
      <c r="B1077" t="s">
        <v>54</v>
      </c>
      <c r="C1077" t="s">
        <v>14</v>
      </c>
      <c r="D1077" s="2">
        <v>288332.08</v>
      </c>
      <c r="E1077" s="2">
        <v>274104.81</v>
      </c>
      <c r="F1077" s="2">
        <v>514235.36</v>
      </c>
      <c r="G1077" s="2">
        <v>1601033.1</v>
      </c>
    </row>
    <row r="1078" spans="1:7" x14ac:dyDescent="0.25">
      <c r="A1078" s="1">
        <v>45017</v>
      </c>
      <c r="B1078" t="s">
        <v>52</v>
      </c>
      <c r="C1078" t="s">
        <v>78</v>
      </c>
      <c r="D1078">
        <v>0</v>
      </c>
      <c r="E1078">
        <v>0</v>
      </c>
      <c r="F1078">
        <v>0</v>
      </c>
      <c r="G1078" s="2">
        <v>1691841.46</v>
      </c>
    </row>
    <row r="1079" spans="1:7" x14ac:dyDescent="0.25">
      <c r="A1079" s="1">
        <v>45017</v>
      </c>
      <c r="B1079" t="s">
        <v>52</v>
      </c>
      <c r="C1079" t="s">
        <v>72</v>
      </c>
      <c r="D1079" s="2">
        <v>7442021.8099999996</v>
      </c>
      <c r="E1079" s="2">
        <v>5699048.4500000002</v>
      </c>
      <c r="F1079" s="2">
        <v>6670855.5</v>
      </c>
      <c r="G1079">
        <v>0</v>
      </c>
    </row>
    <row r="1080" spans="1:7" x14ac:dyDescent="0.25">
      <c r="A1080" s="1">
        <v>45017</v>
      </c>
      <c r="B1080" t="s">
        <v>23</v>
      </c>
      <c r="C1080" t="s">
        <v>14</v>
      </c>
      <c r="D1080" s="2">
        <v>35325577.619999997</v>
      </c>
      <c r="E1080" s="2">
        <v>23716612.059999999</v>
      </c>
      <c r="F1080" s="2">
        <v>11903042.92</v>
      </c>
      <c r="G1080" s="2">
        <v>6875005.7300000004</v>
      </c>
    </row>
    <row r="1081" spans="1:7" x14ac:dyDescent="0.25">
      <c r="A1081" s="1">
        <v>45017</v>
      </c>
      <c r="B1081" t="s">
        <v>65</v>
      </c>
      <c r="C1081" t="s">
        <v>89</v>
      </c>
      <c r="D1081" s="2">
        <v>700000</v>
      </c>
      <c r="E1081" s="2">
        <v>5052.6000000000004</v>
      </c>
      <c r="F1081" s="2">
        <v>5052.6000000000004</v>
      </c>
      <c r="G1081" s="2">
        <v>1616030.55</v>
      </c>
    </row>
    <row r="1082" spans="1:7" x14ac:dyDescent="0.25">
      <c r="A1082" s="1">
        <v>45017</v>
      </c>
      <c r="B1082" t="s">
        <v>54</v>
      </c>
      <c r="C1082" t="s">
        <v>100</v>
      </c>
      <c r="D1082" s="2">
        <v>4527932.16</v>
      </c>
      <c r="E1082" s="2">
        <v>249393.7</v>
      </c>
      <c r="F1082" s="2">
        <v>241572.13</v>
      </c>
      <c r="G1082" s="2">
        <v>3090202.31</v>
      </c>
    </row>
    <row r="1083" spans="1:7" x14ac:dyDescent="0.25">
      <c r="A1083" s="1">
        <v>45017</v>
      </c>
      <c r="B1083" t="s">
        <v>33</v>
      </c>
      <c r="C1083" t="s">
        <v>100</v>
      </c>
      <c r="D1083" s="2">
        <v>25666.639999999999</v>
      </c>
      <c r="E1083" s="2">
        <v>58277.27</v>
      </c>
      <c r="F1083" s="2">
        <v>54471.39</v>
      </c>
      <c r="G1083">
        <v>906.65</v>
      </c>
    </row>
    <row r="1084" spans="1:7" x14ac:dyDescent="0.25">
      <c r="A1084" s="1">
        <v>45017</v>
      </c>
      <c r="B1084" t="s">
        <v>23</v>
      </c>
      <c r="C1084" t="s">
        <v>75</v>
      </c>
      <c r="D1084" s="2">
        <v>1425935.01</v>
      </c>
      <c r="E1084" s="2">
        <v>1299478.22</v>
      </c>
      <c r="F1084" s="2">
        <v>1293488.75</v>
      </c>
      <c r="G1084" s="2">
        <v>2305818.14</v>
      </c>
    </row>
    <row r="1085" spans="1:7" x14ac:dyDescent="0.25">
      <c r="A1085" s="1">
        <v>45017</v>
      </c>
      <c r="B1085" t="s">
        <v>54</v>
      </c>
      <c r="C1085" t="s">
        <v>98</v>
      </c>
      <c r="D1085" s="2">
        <v>73011.53</v>
      </c>
      <c r="E1085" s="2">
        <v>780060.74</v>
      </c>
      <c r="F1085" s="2">
        <v>770178.74</v>
      </c>
      <c r="G1085" s="2">
        <v>2373817.5299999998</v>
      </c>
    </row>
    <row r="1086" spans="1:7" x14ac:dyDescent="0.25">
      <c r="A1086" s="1">
        <v>45017</v>
      </c>
      <c r="B1086" t="s">
        <v>43</v>
      </c>
      <c r="C1086" t="s">
        <v>25</v>
      </c>
      <c r="D1086" s="2">
        <v>3800743.47</v>
      </c>
      <c r="E1086" s="2">
        <v>696646.81</v>
      </c>
      <c r="F1086" s="2">
        <v>720601.14</v>
      </c>
      <c r="G1086" s="2">
        <v>27708</v>
      </c>
    </row>
    <row r="1087" spans="1:7" x14ac:dyDescent="0.25">
      <c r="A1087" s="1">
        <v>45017</v>
      </c>
      <c r="B1087" t="s">
        <v>54</v>
      </c>
      <c r="C1087" t="s">
        <v>76</v>
      </c>
      <c r="D1087" s="2">
        <v>1832000</v>
      </c>
      <c r="E1087" s="2">
        <v>2207.8000000000002</v>
      </c>
      <c r="F1087" s="2">
        <v>2207.8000000000002</v>
      </c>
      <c r="G1087" s="2">
        <v>6992567.2300000004</v>
      </c>
    </row>
    <row r="1088" spans="1:7" x14ac:dyDescent="0.25">
      <c r="A1088" s="1">
        <v>45017</v>
      </c>
      <c r="B1088" t="s">
        <v>41</v>
      </c>
      <c r="C1088" t="s">
        <v>57</v>
      </c>
      <c r="D1088" s="2">
        <v>83004.070000000007</v>
      </c>
      <c r="E1088" s="2">
        <v>4377.7299999999996</v>
      </c>
      <c r="F1088" s="2">
        <v>100000</v>
      </c>
      <c r="G1088" s="2">
        <v>27416.27</v>
      </c>
    </row>
    <row r="1089" spans="1:7" x14ac:dyDescent="0.25">
      <c r="A1089" s="1">
        <v>45017</v>
      </c>
      <c r="B1089" t="s">
        <v>28</v>
      </c>
      <c r="C1089" t="s">
        <v>75</v>
      </c>
      <c r="D1089" s="2">
        <v>429640.74</v>
      </c>
      <c r="E1089" s="2">
        <v>227952.09</v>
      </c>
      <c r="F1089" s="2">
        <v>414580.63</v>
      </c>
      <c r="G1089">
        <v>0</v>
      </c>
    </row>
    <row r="1090" spans="1:7" x14ac:dyDescent="0.25">
      <c r="A1090" s="1">
        <v>45017</v>
      </c>
      <c r="B1090" t="s">
        <v>91</v>
      </c>
      <c r="C1090" t="s">
        <v>98</v>
      </c>
      <c r="D1090" s="2">
        <v>28485329</v>
      </c>
      <c r="E1090">
        <v>0</v>
      </c>
      <c r="F1090" s="2">
        <v>437852.31</v>
      </c>
      <c r="G1090" s="2">
        <v>11355428.449999999</v>
      </c>
    </row>
    <row r="1091" spans="1:7" x14ac:dyDescent="0.25">
      <c r="A1091" s="1">
        <v>45017</v>
      </c>
      <c r="B1091" t="s">
        <v>91</v>
      </c>
      <c r="C1091" t="s">
        <v>72</v>
      </c>
      <c r="D1091" s="2">
        <v>2675490.1</v>
      </c>
      <c r="E1091" s="2">
        <v>7686725.1799999997</v>
      </c>
      <c r="F1091" s="2">
        <v>6620217.3399999999</v>
      </c>
      <c r="G1091">
        <v>0</v>
      </c>
    </row>
    <row r="1092" spans="1:7" x14ac:dyDescent="0.25">
      <c r="A1092" s="1">
        <v>45017</v>
      </c>
      <c r="B1092" t="s">
        <v>36</v>
      </c>
      <c r="C1092" t="s">
        <v>38</v>
      </c>
      <c r="D1092" s="2">
        <v>-121712214.8</v>
      </c>
      <c r="E1092" s="2">
        <v>3952138078.73</v>
      </c>
      <c r="F1092" s="2">
        <v>3982543327.9699998</v>
      </c>
      <c r="G1092">
        <v>0</v>
      </c>
    </row>
    <row r="1093" spans="1:7" x14ac:dyDescent="0.25">
      <c r="A1093" s="1">
        <v>45017</v>
      </c>
      <c r="B1093" t="s">
        <v>26</v>
      </c>
      <c r="C1093" t="s">
        <v>68</v>
      </c>
      <c r="D1093" s="2">
        <v>348547.96</v>
      </c>
      <c r="E1093" s="2">
        <v>209454.83</v>
      </c>
      <c r="F1093" s="2">
        <v>97692.56</v>
      </c>
      <c r="G1093" s="2">
        <v>401084.5</v>
      </c>
    </row>
    <row r="1094" spans="1:7" x14ac:dyDescent="0.25">
      <c r="A1094" s="1">
        <v>45017</v>
      </c>
      <c r="B1094" t="s">
        <v>54</v>
      </c>
      <c r="C1094" t="s">
        <v>89</v>
      </c>
      <c r="D1094">
        <v>0</v>
      </c>
      <c r="E1094">
        <v>0</v>
      </c>
      <c r="F1094">
        <v>0</v>
      </c>
      <c r="G1094" s="2">
        <v>60816.01</v>
      </c>
    </row>
    <row r="1095" spans="1:7" x14ac:dyDescent="0.25">
      <c r="A1095" s="1">
        <v>45017</v>
      </c>
      <c r="B1095" t="s">
        <v>47</v>
      </c>
      <c r="C1095" t="s">
        <v>76</v>
      </c>
      <c r="D1095" s="2">
        <v>41339316.090000004</v>
      </c>
      <c r="E1095" s="2">
        <v>21787368.699999999</v>
      </c>
      <c r="F1095" s="2">
        <v>12020004.5</v>
      </c>
      <c r="G1095" s="2">
        <v>26740207.879999999</v>
      </c>
    </row>
    <row r="1096" spans="1:7" x14ac:dyDescent="0.25">
      <c r="A1096" s="1">
        <v>45017</v>
      </c>
      <c r="B1096" t="s">
        <v>33</v>
      </c>
      <c r="C1096" t="s">
        <v>99</v>
      </c>
      <c r="D1096" s="2">
        <v>9396203.5800000001</v>
      </c>
      <c r="E1096" s="2">
        <v>24618750.710000001</v>
      </c>
      <c r="F1096" s="2">
        <v>24613885.16</v>
      </c>
      <c r="G1096" s="2">
        <v>18446.46</v>
      </c>
    </row>
    <row r="1097" spans="1:7" x14ac:dyDescent="0.25">
      <c r="A1097" s="1">
        <v>45017</v>
      </c>
      <c r="B1097" t="s">
        <v>54</v>
      </c>
      <c r="C1097" t="s">
        <v>34</v>
      </c>
      <c r="D1097" s="2">
        <v>731702.12</v>
      </c>
      <c r="E1097" s="2">
        <v>694558.99</v>
      </c>
      <c r="F1097" s="2">
        <v>96234.28</v>
      </c>
      <c r="G1097" s="2">
        <v>184588.62</v>
      </c>
    </row>
    <row r="1098" spans="1:7" x14ac:dyDescent="0.25">
      <c r="A1098" s="1">
        <v>45017</v>
      </c>
      <c r="B1098" t="s">
        <v>62</v>
      </c>
      <c r="C1098" t="s">
        <v>64</v>
      </c>
      <c r="D1098" s="2">
        <v>5031760.8499999996</v>
      </c>
      <c r="E1098" s="2">
        <v>248234.05</v>
      </c>
      <c r="F1098" s="2">
        <v>201489.47</v>
      </c>
      <c r="G1098" s="2">
        <v>5189525.8</v>
      </c>
    </row>
    <row r="1099" spans="1:7" x14ac:dyDescent="0.25">
      <c r="A1099" s="1">
        <v>45017</v>
      </c>
      <c r="B1099" t="s">
        <v>62</v>
      </c>
      <c r="C1099" t="s">
        <v>72</v>
      </c>
      <c r="D1099" s="2">
        <v>1842353.65</v>
      </c>
      <c r="E1099" s="2">
        <v>2941159.47</v>
      </c>
      <c r="F1099" s="2">
        <v>2262974.9</v>
      </c>
      <c r="G1099">
        <v>0</v>
      </c>
    </row>
    <row r="1100" spans="1:7" x14ac:dyDescent="0.25">
      <c r="A1100" s="1">
        <v>45017</v>
      </c>
      <c r="B1100" t="s">
        <v>7</v>
      </c>
      <c r="C1100" t="s">
        <v>55</v>
      </c>
      <c r="D1100" s="2">
        <v>850385.58</v>
      </c>
      <c r="E1100" s="2">
        <v>1160728.96</v>
      </c>
      <c r="F1100" s="2">
        <v>1152082.8799999999</v>
      </c>
      <c r="G1100" s="2">
        <v>-602946.18999999994</v>
      </c>
    </row>
    <row r="1101" spans="1:7" x14ac:dyDescent="0.25">
      <c r="A1101" s="1">
        <v>45017</v>
      </c>
      <c r="B1101" t="s">
        <v>27</v>
      </c>
      <c r="C1101" t="s">
        <v>14</v>
      </c>
      <c r="D1101">
        <v>0</v>
      </c>
      <c r="E1101">
        <v>0</v>
      </c>
      <c r="F1101">
        <v>0</v>
      </c>
      <c r="G1101" s="2">
        <v>756240</v>
      </c>
    </row>
    <row r="1102" spans="1:7" x14ac:dyDescent="0.25">
      <c r="A1102" s="1">
        <v>45017</v>
      </c>
      <c r="B1102" t="s">
        <v>23</v>
      </c>
      <c r="C1102" t="s">
        <v>72</v>
      </c>
      <c r="D1102" s="2">
        <v>-5242081.82</v>
      </c>
      <c r="E1102" s="2">
        <v>61023348.109999999</v>
      </c>
      <c r="F1102" s="2">
        <v>50978910.770000003</v>
      </c>
      <c r="G1102">
        <v>0</v>
      </c>
    </row>
    <row r="1103" spans="1:7" x14ac:dyDescent="0.25">
      <c r="A1103" s="1">
        <v>45017</v>
      </c>
      <c r="B1103" t="s">
        <v>54</v>
      </c>
      <c r="C1103" t="s">
        <v>79</v>
      </c>
      <c r="D1103" s="2">
        <v>363622.88</v>
      </c>
      <c r="E1103" s="2">
        <v>16784.63</v>
      </c>
      <c r="F1103" s="2">
        <v>12125.63</v>
      </c>
      <c r="G1103">
        <v>-8.66</v>
      </c>
    </row>
    <row r="1104" spans="1:7" x14ac:dyDescent="0.25">
      <c r="A1104" s="1">
        <v>45017</v>
      </c>
      <c r="B1104" t="s">
        <v>17</v>
      </c>
      <c r="C1104" t="s">
        <v>72</v>
      </c>
      <c r="D1104" s="2">
        <v>3097397.5</v>
      </c>
      <c r="E1104" s="2">
        <v>13672106.789999999</v>
      </c>
      <c r="F1104" s="2">
        <v>12356691.17</v>
      </c>
      <c r="G1104">
        <v>0</v>
      </c>
    </row>
    <row r="1105" spans="1:7" x14ac:dyDescent="0.25">
      <c r="A1105" s="1">
        <v>45017</v>
      </c>
      <c r="B1105" t="s">
        <v>28</v>
      </c>
      <c r="C1105" t="s">
        <v>57</v>
      </c>
      <c r="D1105" s="2">
        <v>210735270.78999999</v>
      </c>
      <c r="E1105" s="2">
        <v>197716565.59</v>
      </c>
      <c r="F1105" s="2">
        <v>205693861.58000001</v>
      </c>
      <c r="G1105" s="2">
        <v>12294698.91</v>
      </c>
    </row>
    <row r="1106" spans="1:7" x14ac:dyDescent="0.25">
      <c r="A1106" s="1">
        <v>45017</v>
      </c>
      <c r="B1106" t="s">
        <v>62</v>
      </c>
      <c r="C1106" t="s">
        <v>107</v>
      </c>
      <c r="D1106" s="2">
        <v>36604855.710000001</v>
      </c>
      <c r="E1106" s="2">
        <v>8272582.8700000001</v>
      </c>
      <c r="F1106" s="2">
        <v>8368592.5499999998</v>
      </c>
      <c r="G1106" s="2">
        <v>9336662.6500000004</v>
      </c>
    </row>
    <row r="1107" spans="1:7" x14ac:dyDescent="0.25">
      <c r="A1107" s="1">
        <v>45017</v>
      </c>
      <c r="B1107" t="s">
        <v>52</v>
      </c>
      <c r="C1107" t="s">
        <v>12</v>
      </c>
      <c r="D1107" s="2">
        <v>332544</v>
      </c>
      <c r="E1107" s="2">
        <v>41307.160000000003</v>
      </c>
      <c r="F1107" s="2">
        <v>5475.12</v>
      </c>
      <c r="G1107" s="2">
        <v>41453.660000000003</v>
      </c>
    </row>
    <row r="1108" spans="1:7" x14ac:dyDescent="0.25">
      <c r="A1108" s="1">
        <v>45017</v>
      </c>
      <c r="B1108" t="s">
        <v>23</v>
      </c>
      <c r="C1108" t="s">
        <v>96</v>
      </c>
      <c r="D1108" s="2">
        <v>5902680</v>
      </c>
      <c r="E1108" s="2">
        <v>23904232.390000001</v>
      </c>
      <c r="F1108" s="2">
        <v>24156730.73</v>
      </c>
      <c r="G1108" s="2">
        <v>519220.52</v>
      </c>
    </row>
    <row r="1109" spans="1:7" x14ac:dyDescent="0.25">
      <c r="A1109" s="1">
        <v>45017</v>
      </c>
      <c r="B1109" t="s">
        <v>54</v>
      </c>
      <c r="C1109" t="s">
        <v>117</v>
      </c>
      <c r="D1109" s="2">
        <v>30494351.329999998</v>
      </c>
      <c r="E1109" s="2">
        <v>14885426.02</v>
      </c>
      <c r="F1109" s="2">
        <v>14727241.92</v>
      </c>
      <c r="G1109">
        <v>0</v>
      </c>
    </row>
    <row r="1110" spans="1:7" x14ac:dyDescent="0.25">
      <c r="A1110" s="1">
        <v>45017</v>
      </c>
      <c r="B1110" t="s">
        <v>54</v>
      </c>
      <c r="C1110" t="s">
        <v>71</v>
      </c>
      <c r="D1110" s="2">
        <v>317625.2</v>
      </c>
      <c r="E1110" s="2">
        <v>474780.07</v>
      </c>
      <c r="F1110" s="2">
        <v>472943.72</v>
      </c>
      <c r="G1110" s="2">
        <v>764211.09</v>
      </c>
    </row>
    <row r="1111" spans="1:7" x14ac:dyDescent="0.25">
      <c r="A1111" s="1">
        <v>45017</v>
      </c>
      <c r="B1111" t="s">
        <v>33</v>
      </c>
      <c r="C1111" t="s">
        <v>64</v>
      </c>
      <c r="D1111" s="2">
        <v>5221965.3899999997</v>
      </c>
      <c r="E1111" s="2">
        <v>1464840.99</v>
      </c>
      <c r="F1111" s="2">
        <v>1666218.83</v>
      </c>
      <c r="G1111" s="2">
        <v>191535.56</v>
      </c>
    </row>
    <row r="1112" spans="1:7" x14ac:dyDescent="0.25">
      <c r="A1112" s="1">
        <v>45017</v>
      </c>
      <c r="B1112" t="s">
        <v>26</v>
      </c>
      <c r="C1112" t="s">
        <v>66</v>
      </c>
      <c r="D1112" s="2">
        <v>271523.77</v>
      </c>
      <c r="E1112" s="2">
        <v>168266.12</v>
      </c>
      <c r="F1112" s="2">
        <v>123359.75</v>
      </c>
      <c r="G1112">
        <v>419.54</v>
      </c>
    </row>
    <row r="1113" spans="1:7" x14ac:dyDescent="0.25">
      <c r="A1113" s="1">
        <v>45017</v>
      </c>
      <c r="B1113" t="s">
        <v>33</v>
      </c>
      <c r="C1113" t="s">
        <v>76</v>
      </c>
      <c r="D1113" s="2">
        <v>17045943.210000001</v>
      </c>
      <c r="E1113" s="2">
        <v>6403332.6600000001</v>
      </c>
      <c r="F1113" s="2">
        <v>6867600.7300000004</v>
      </c>
      <c r="G1113">
        <v>0</v>
      </c>
    </row>
    <row r="1114" spans="1:7" x14ac:dyDescent="0.25">
      <c r="A1114" s="1">
        <v>45017</v>
      </c>
      <c r="B1114" t="s">
        <v>69</v>
      </c>
      <c r="C1114" t="s">
        <v>75</v>
      </c>
      <c r="D1114" s="2">
        <v>119765131.59</v>
      </c>
      <c r="E1114" s="2">
        <v>27223243.239999998</v>
      </c>
      <c r="F1114" s="2">
        <v>25696624.170000002</v>
      </c>
      <c r="G1114" s="2">
        <v>2548827.09</v>
      </c>
    </row>
    <row r="1115" spans="1:7" x14ac:dyDescent="0.25">
      <c r="A1115" s="1">
        <v>45017</v>
      </c>
      <c r="B1115" t="s">
        <v>54</v>
      </c>
      <c r="C1115" t="s">
        <v>108</v>
      </c>
      <c r="D1115" s="2">
        <v>45002.9</v>
      </c>
      <c r="E1115" s="2">
        <v>308261.26</v>
      </c>
      <c r="F1115" s="2">
        <v>308261.26</v>
      </c>
      <c r="G1115" s="2">
        <v>53137.760000000002</v>
      </c>
    </row>
    <row r="1116" spans="1:7" x14ac:dyDescent="0.25">
      <c r="A1116" s="1">
        <v>45017</v>
      </c>
      <c r="B1116" t="s">
        <v>33</v>
      </c>
      <c r="C1116" t="s">
        <v>66</v>
      </c>
      <c r="D1116" s="2">
        <v>11922503.51</v>
      </c>
      <c r="E1116" s="2">
        <v>3774427.95</v>
      </c>
      <c r="F1116" s="2">
        <v>3842404.73</v>
      </c>
      <c r="G1116" s="2">
        <v>1863388.81</v>
      </c>
    </row>
    <row r="1117" spans="1:7" x14ac:dyDescent="0.25">
      <c r="A1117" s="1">
        <v>45017</v>
      </c>
      <c r="B1117" t="s">
        <v>104</v>
      </c>
      <c r="C1117" t="s">
        <v>108</v>
      </c>
      <c r="D1117" s="2">
        <v>80840353.469999999</v>
      </c>
      <c r="E1117" s="2">
        <v>979468.18</v>
      </c>
      <c r="F1117" s="2">
        <v>974103.09</v>
      </c>
      <c r="G1117" s="2">
        <v>10023374.859999999</v>
      </c>
    </row>
    <row r="1118" spans="1:7" x14ac:dyDescent="0.25">
      <c r="A1118" s="1">
        <v>45017</v>
      </c>
      <c r="B1118" t="s">
        <v>17</v>
      </c>
      <c r="C1118" t="s">
        <v>55</v>
      </c>
      <c r="D1118" s="2">
        <v>-1574</v>
      </c>
      <c r="E1118" s="2">
        <v>2727.44</v>
      </c>
      <c r="F1118" s="2">
        <v>2687.44</v>
      </c>
      <c r="G1118" s="2">
        <v>2028229.69</v>
      </c>
    </row>
    <row r="1119" spans="1:7" x14ac:dyDescent="0.25">
      <c r="A1119" s="1">
        <v>45017</v>
      </c>
      <c r="B1119" t="s">
        <v>43</v>
      </c>
      <c r="C1119" t="s">
        <v>72</v>
      </c>
      <c r="D1119" s="2">
        <v>15870985.220000001</v>
      </c>
      <c r="E1119" s="2">
        <v>6373284.5300000003</v>
      </c>
      <c r="F1119" s="2">
        <v>5745140.5599999996</v>
      </c>
      <c r="G1119">
        <v>0</v>
      </c>
    </row>
    <row r="1120" spans="1:7" x14ac:dyDescent="0.25">
      <c r="A1120" s="1">
        <v>45017</v>
      </c>
      <c r="B1120" t="s">
        <v>91</v>
      </c>
      <c r="C1120" t="s">
        <v>75</v>
      </c>
      <c r="D1120" s="2">
        <v>67546078.109999999</v>
      </c>
      <c r="E1120" s="2">
        <v>12497337.560000001</v>
      </c>
      <c r="F1120" s="2">
        <v>12822014.99</v>
      </c>
      <c r="G1120" s="2">
        <v>2322589.06</v>
      </c>
    </row>
    <row r="1121" spans="1:7" x14ac:dyDescent="0.25">
      <c r="A1121" s="1">
        <v>45017</v>
      </c>
      <c r="B1121" t="s">
        <v>7</v>
      </c>
      <c r="C1121" t="s">
        <v>8</v>
      </c>
      <c r="D1121">
        <v>0</v>
      </c>
      <c r="E1121">
        <v>0</v>
      </c>
      <c r="F1121">
        <v>0</v>
      </c>
      <c r="G1121" s="2">
        <v>769293.47</v>
      </c>
    </row>
    <row r="1122" spans="1:7" x14ac:dyDescent="0.25">
      <c r="A1122" s="1">
        <v>45017</v>
      </c>
      <c r="B1122" t="s">
        <v>91</v>
      </c>
      <c r="C1122" t="s">
        <v>109</v>
      </c>
      <c r="D1122" s="2">
        <v>69716186.799999997</v>
      </c>
      <c r="E1122" s="2">
        <v>32422392.260000002</v>
      </c>
      <c r="F1122" s="2">
        <v>32378666.710000001</v>
      </c>
      <c r="G1122" s="2">
        <v>13970592.77</v>
      </c>
    </row>
    <row r="1123" spans="1:7" x14ac:dyDescent="0.25">
      <c r="A1123" s="1">
        <v>45017</v>
      </c>
      <c r="B1123" t="s">
        <v>43</v>
      </c>
      <c r="C1123" t="s">
        <v>112</v>
      </c>
      <c r="D1123" s="2">
        <v>802392.47</v>
      </c>
      <c r="E1123" s="2">
        <v>352172.12</v>
      </c>
      <c r="F1123" s="2">
        <v>385998.73</v>
      </c>
      <c r="G1123">
        <v>0</v>
      </c>
    </row>
    <row r="1124" spans="1:7" x14ac:dyDescent="0.25">
      <c r="A1124" s="1">
        <v>45017</v>
      </c>
      <c r="B1124" t="s">
        <v>69</v>
      </c>
      <c r="C1124" t="s">
        <v>77</v>
      </c>
      <c r="D1124" s="2">
        <v>347752.04</v>
      </c>
      <c r="E1124" s="2">
        <v>113628.23</v>
      </c>
      <c r="F1124" s="2">
        <v>108564.48</v>
      </c>
      <c r="G1124" s="2">
        <v>332021.39</v>
      </c>
    </row>
    <row r="1125" spans="1:7" x14ac:dyDescent="0.25">
      <c r="A1125" s="1">
        <v>45017</v>
      </c>
      <c r="B1125" t="s">
        <v>28</v>
      </c>
      <c r="C1125" t="s">
        <v>12</v>
      </c>
      <c r="D1125" s="2">
        <v>125866</v>
      </c>
      <c r="E1125" s="2">
        <v>40532.83</v>
      </c>
      <c r="F1125" s="2">
        <v>40751.269999999997</v>
      </c>
      <c r="G1125">
        <v>0</v>
      </c>
    </row>
    <row r="1126" spans="1:7" x14ac:dyDescent="0.25">
      <c r="A1126" s="1">
        <v>45017</v>
      </c>
      <c r="B1126" t="s">
        <v>23</v>
      </c>
      <c r="C1126" t="s">
        <v>110</v>
      </c>
      <c r="D1126" s="2">
        <v>1275005790.73</v>
      </c>
      <c r="E1126" s="2">
        <v>1280472533.45</v>
      </c>
      <c r="F1126" s="2">
        <v>1306738236.48</v>
      </c>
      <c r="G1126" s="2">
        <v>312574459.50999999</v>
      </c>
    </row>
    <row r="1127" spans="1:7" x14ac:dyDescent="0.25">
      <c r="A1127" s="1">
        <v>45017</v>
      </c>
      <c r="B1127" t="s">
        <v>69</v>
      </c>
      <c r="C1127" t="s">
        <v>20</v>
      </c>
      <c r="D1127" s="2">
        <v>4892253.4800000004</v>
      </c>
      <c r="E1127" s="2">
        <v>2715884.96</v>
      </c>
      <c r="F1127" s="2">
        <v>2694936.49</v>
      </c>
      <c r="G1127" s="2">
        <v>3276377.11</v>
      </c>
    </row>
    <row r="1128" spans="1:7" x14ac:dyDescent="0.25">
      <c r="A1128" s="1">
        <v>45017</v>
      </c>
      <c r="B1128" t="s">
        <v>28</v>
      </c>
      <c r="C1128" t="s">
        <v>90</v>
      </c>
      <c r="D1128" s="2">
        <v>1548029.22</v>
      </c>
      <c r="E1128" s="2">
        <v>484413.06</v>
      </c>
      <c r="F1128" s="2">
        <v>470466.53</v>
      </c>
      <c r="G1128">
        <v>0</v>
      </c>
    </row>
    <row r="1129" spans="1:7" x14ac:dyDescent="0.25">
      <c r="A1129" s="1">
        <v>45017</v>
      </c>
      <c r="B1129" t="s">
        <v>91</v>
      </c>
      <c r="C1129" t="s">
        <v>114</v>
      </c>
      <c r="D1129" s="2">
        <v>2638646767</v>
      </c>
      <c r="E1129" s="2">
        <v>312427090.31999999</v>
      </c>
      <c r="F1129" s="2">
        <v>287001756.20999998</v>
      </c>
      <c r="G1129" s="2">
        <v>475296251.60000002</v>
      </c>
    </row>
    <row r="1130" spans="1:7" x14ac:dyDescent="0.25">
      <c r="A1130" s="1">
        <v>45017</v>
      </c>
      <c r="B1130" t="s">
        <v>33</v>
      </c>
      <c r="C1130" t="s">
        <v>12</v>
      </c>
      <c r="D1130" s="2">
        <v>438085.69</v>
      </c>
      <c r="E1130" s="2">
        <v>261415.92</v>
      </c>
      <c r="F1130" s="2">
        <v>258276.58</v>
      </c>
      <c r="G1130" s="2">
        <v>186928.32</v>
      </c>
    </row>
    <row r="1131" spans="1:7" x14ac:dyDescent="0.25">
      <c r="A1131" s="1">
        <v>45017</v>
      </c>
      <c r="B1131" t="s">
        <v>33</v>
      </c>
      <c r="C1131" t="s">
        <v>72</v>
      </c>
      <c r="D1131" s="2">
        <v>54738462.439999998</v>
      </c>
      <c r="E1131" s="2">
        <v>87713132.909999996</v>
      </c>
      <c r="F1131" s="2">
        <v>71319484.349999994</v>
      </c>
      <c r="G1131">
        <v>0</v>
      </c>
    </row>
    <row r="1132" spans="1:7" x14ac:dyDescent="0.25">
      <c r="A1132" s="1">
        <v>45017</v>
      </c>
      <c r="B1132" t="s">
        <v>43</v>
      </c>
      <c r="C1132" t="s">
        <v>12</v>
      </c>
      <c r="D1132" s="2">
        <v>328137.89</v>
      </c>
      <c r="E1132" s="2">
        <v>101539.64</v>
      </c>
      <c r="F1132" s="2">
        <v>95774.39</v>
      </c>
      <c r="G1132" s="2">
        <v>1281.67</v>
      </c>
    </row>
    <row r="1133" spans="1:7" x14ac:dyDescent="0.25">
      <c r="A1133" s="1">
        <v>45017</v>
      </c>
      <c r="B1133" t="s">
        <v>23</v>
      </c>
      <c r="C1133" t="s">
        <v>55</v>
      </c>
      <c r="D1133" s="2">
        <v>850149.58</v>
      </c>
      <c r="E1133" s="2">
        <v>2490172.06</v>
      </c>
      <c r="F1133" s="2">
        <v>2316211.75</v>
      </c>
      <c r="G1133" s="2">
        <v>1135071.3999999999</v>
      </c>
    </row>
    <row r="1134" spans="1:7" x14ac:dyDescent="0.25">
      <c r="A1134" s="1">
        <v>45017</v>
      </c>
      <c r="B1134" t="s">
        <v>33</v>
      </c>
      <c r="C1134" t="s">
        <v>22</v>
      </c>
      <c r="D1134" s="2">
        <v>25243397.59</v>
      </c>
      <c r="E1134" s="2">
        <v>148457811.91999999</v>
      </c>
      <c r="F1134" s="2">
        <v>148541055.69999999</v>
      </c>
      <c r="G1134" s="2">
        <v>1662.22</v>
      </c>
    </row>
    <row r="1135" spans="1:7" x14ac:dyDescent="0.25">
      <c r="A1135" s="1">
        <v>45017</v>
      </c>
      <c r="B1135" t="s">
        <v>54</v>
      </c>
      <c r="C1135" t="s">
        <v>95</v>
      </c>
      <c r="D1135" s="2">
        <v>2142569.84</v>
      </c>
      <c r="E1135" s="2">
        <v>1366945.77</v>
      </c>
      <c r="F1135" s="2">
        <v>1312125.25</v>
      </c>
      <c r="G1135" s="2">
        <v>625568.65</v>
      </c>
    </row>
    <row r="1136" spans="1:7" x14ac:dyDescent="0.25">
      <c r="A1136" s="1">
        <v>45017</v>
      </c>
      <c r="B1136" t="s">
        <v>36</v>
      </c>
      <c r="C1136" t="s">
        <v>101</v>
      </c>
      <c r="D1136" s="2">
        <v>46710796203.480003</v>
      </c>
      <c r="E1136" s="2">
        <v>14732774650.459999</v>
      </c>
      <c r="F1136" s="2">
        <v>14732179514.08</v>
      </c>
      <c r="G1136" s="2">
        <v>45030845.859999999</v>
      </c>
    </row>
    <row r="1137" spans="1:7" x14ac:dyDescent="0.25">
      <c r="A1137" s="1">
        <v>45017</v>
      </c>
      <c r="B1137" t="s">
        <v>37</v>
      </c>
      <c r="C1137" t="s">
        <v>24</v>
      </c>
      <c r="D1137" s="2">
        <v>50580335.700000003</v>
      </c>
      <c r="E1137" s="2">
        <v>3766578.77</v>
      </c>
      <c r="F1137" s="2">
        <v>3955563.43</v>
      </c>
      <c r="G1137" s="2">
        <v>19541855.640000001</v>
      </c>
    </row>
    <row r="1138" spans="1:7" x14ac:dyDescent="0.25">
      <c r="A1138" s="1">
        <v>45017</v>
      </c>
      <c r="B1138" t="s">
        <v>27</v>
      </c>
      <c r="C1138" t="s">
        <v>99</v>
      </c>
      <c r="D1138" s="2">
        <v>312420338.95999998</v>
      </c>
      <c r="E1138" s="2">
        <v>31652788.489999998</v>
      </c>
      <c r="F1138" s="2">
        <v>33293662.859999999</v>
      </c>
      <c r="G1138" s="2">
        <v>3573105.36</v>
      </c>
    </row>
    <row r="1139" spans="1:7" x14ac:dyDescent="0.25">
      <c r="A1139" s="1">
        <v>45017</v>
      </c>
      <c r="B1139" t="s">
        <v>47</v>
      </c>
      <c r="C1139" t="s">
        <v>57</v>
      </c>
      <c r="D1139" s="2">
        <v>302488586.81999999</v>
      </c>
      <c r="E1139" s="2">
        <v>48419936.509999998</v>
      </c>
      <c r="F1139" s="2">
        <v>47741292.600000001</v>
      </c>
      <c r="G1139" s="2">
        <v>2465428.89</v>
      </c>
    </row>
    <row r="1140" spans="1:7" x14ac:dyDescent="0.25">
      <c r="A1140" s="1">
        <v>45017</v>
      </c>
      <c r="B1140" t="s">
        <v>17</v>
      </c>
      <c r="C1140" t="s">
        <v>126</v>
      </c>
      <c r="D1140" s="2">
        <v>1204503.8999999999</v>
      </c>
      <c r="E1140" s="2">
        <v>6146153.5499999998</v>
      </c>
      <c r="F1140" s="2">
        <v>9902743.6199999992</v>
      </c>
      <c r="G1140" s="2">
        <v>8310072.8099999996</v>
      </c>
    </row>
    <row r="1141" spans="1:7" x14ac:dyDescent="0.25">
      <c r="A1141" s="1">
        <v>45017</v>
      </c>
      <c r="B1141" t="s">
        <v>54</v>
      </c>
      <c r="C1141" t="s">
        <v>22</v>
      </c>
      <c r="D1141" s="2">
        <v>6442311.4800000004</v>
      </c>
      <c r="E1141" s="2">
        <v>18667040.379999999</v>
      </c>
      <c r="F1141" s="2">
        <v>18667040.379999999</v>
      </c>
      <c r="G1141">
        <v>0</v>
      </c>
    </row>
    <row r="1142" spans="1:7" x14ac:dyDescent="0.25">
      <c r="A1142" s="1">
        <v>45017</v>
      </c>
      <c r="B1142" t="s">
        <v>17</v>
      </c>
      <c r="C1142" t="s">
        <v>113</v>
      </c>
      <c r="D1142" s="2">
        <v>476419680.63</v>
      </c>
      <c r="E1142" s="2">
        <v>365897247.10000002</v>
      </c>
      <c r="F1142" s="2">
        <v>365648392.89999998</v>
      </c>
      <c r="G1142" s="2">
        <v>10518186.49</v>
      </c>
    </row>
    <row r="1143" spans="1:7" x14ac:dyDescent="0.25">
      <c r="A1143" s="1">
        <v>45017</v>
      </c>
      <c r="B1143" t="s">
        <v>52</v>
      </c>
      <c r="C1143" t="s">
        <v>46</v>
      </c>
      <c r="D1143">
        <v>0</v>
      </c>
      <c r="E1143">
        <v>0</v>
      </c>
      <c r="F1143">
        <v>0</v>
      </c>
      <c r="G1143" s="2">
        <v>67353296.620000005</v>
      </c>
    </row>
    <row r="1144" spans="1:7" x14ac:dyDescent="0.25">
      <c r="A1144" s="1">
        <v>45017</v>
      </c>
      <c r="B1144" t="s">
        <v>23</v>
      </c>
      <c r="C1144" t="s">
        <v>59</v>
      </c>
      <c r="D1144" s="2">
        <v>-2000</v>
      </c>
      <c r="E1144">
        <v>83.28</v>
      </c>
      <c r="F1144" s="2">
        <v>3883.15</v>
      </c>
      <c r="G1144">
        <v>0</v>
      </c>
    </row>
    <row r="1145" spans="1:7" x14ac:dyDescent="0.25">
      <c r="A1145" s="1">
        <v>45017</v>
      </c>
      <c r="B1145" t="s">
        <v>54</v>
      </c>
      <c r="C1145" t="s">
        <v>10</v>
      </c>
      <c r="D1145" s="2">
        <v>4993072.72</v>
      </c>
      <c r="E1145" s="2">
        <v>8812821.6899999995</v>
      </c>
      <c r="F1145" s="2">
        <v>8564308.3499999996</v>
      </c>
      <c r="G1145" s="2">
        <v>15553778.039999999</v>
      </c>
    </row>
    <row r="1146" spans="1:7" x14ac:dyDescent="0.25">
      <c r="A1146" s="1">
        <v>45017</v>
      </c>
      <c r="B1146" t="s">
        <v>15</v>
      </c>
      <c r="C1146" t="s">
        <v>75</v>
      </c>
      <c r="D1146" s="2">
        <v>41000012.640000001</v>
      </c>
      <c r="E1146" s="2">
        <v>5965085.0899999999</v>
      </c>
      <c r="F1146" s="2">
        <v>4681115.28</v>
      </c>
      <c r="G1146" s="2">
        <v>6055328.3700000001</v>
      </c>
    </row>
    <row r="1147" spans="1:7" x14ac:dyDescent="0.25">
      <c r="A1147" s="1">
        <v>45017</v>
      </c>
      <c r="B1147" t="s">
        <v>43</v>
      </c>
      <c r="C1147" t="s">
        <v>14</v>
      </c>
      <c r="D1147" s="2">
        <v>8129473.79</v>
      </c>
      <c r="E1147" s="2">
        <v>1417070.1</v>
      </c>
      <c r="F1147" s="2">
        <v>1574624.5</v>
      </c>
      <c r="G1147" s="2">
        <v>1858750.99</v>
      </c>
    </row>
    <row r="1148" spans="1:7" x14ac:dyDescent="0.25">
      <c r="A1148" s="1">
        <v>45017</v>
      </c>
      <c r="B1148" t="s">
        <v>54</v>
      </c>
      <c r="C1148" t="s">
        <v>119</v>
      </c>
      <c r="D1148" s="2">
        <v>1538958.09</v>
      </c>
      <c r="E1148" s="2">
        <v>520423.74</v>
      </c>
      <c r="F1148" s="2">
        <v>487513.82</v>
      </c>
      <c r="G1148" s="2">
        <v>150495.46</v>
      </c>
    </row>
    <row r="1149" spans="1:7" x14ac:dyDescent="0.25">
      <c r="A1149" s="1">
        <v>45017</v>
      </c>
      <c r="B1149" t="s">
        <v>52</v>
      </c>
      <c r="C1149" t="s">
        <v>118</v>
      </c>
      <c r="D1149" s="2">
        <v>25860359.539999999</v>
      </c>
      <c r="E1149" s="2">
        <v>16752366.470000001</v>
      </c>
      <c r="F1149" s="2">
        <v>17179676.469999999</v>
      </c>
      <c r="G1149" s="2">
        <v>10726854.84</v>
      </c>
    </row>
    <row r="1150" spans="1:7" x14ac:dyDescent="0.25">
      <c r="A1150" s="1">
        <v>45017</v>
      </c>
      <c r="B1150" t="s">
        <v>43</v>
      </c>
      <c r="C1150" t="s">
        <v>57</v>
      </c>
      <c r="D1150" s="2">
        <v>169267147.34999999</v>
      </c>
      <c r="E1150" s="2">
        <v>92987077.739999995</v>
      </c>
      <c r="F1150" s="2">
        <v>94994105.810000002</v>
      </c>
      <c r="G1150" s="2">
        <v>3403798.44</v>
      </c>
    </row>
    <row r="1151" spans="1:7" x14ac:dyDescent="0.25">
      <c r="A1151" s="1">
        <v>45017</v>
      </c>
      <c r="B1151" t="s">
        <v>33</v>
      </c>
      <c r="C1151" t="s">
        <v>119</v>
      </c>
      <c r="D1151" s="2">
        <v>20857787.149999999</v>
      </c>
      <c r="E1151" s="2">
        <v>4921128.4800000004</v>
      </c>
      <c r="F1151" s="2">
        <v>5076157.3</v>
      </c>
      <c r="G1151" s="2">
        <v>803086.99</v>
      </c>
    </row>
    <row r="1152" spans="1:7" x14ac:dyDescent="0.25">
      <c r="A1152" s="1">
        <v>45017</v>
      </c>
      <c r="B1152" t="s">
        <v>65</v>
      </c>
      <c r="C1152" t="s">
        <v>75</v>
      </c>
      <c r="D1152" s="2">
        <v>1454647.97</v>
      </c>
      <c r="E1152" s="2">
        <v>1039526.49</v>
      </c>
      <c r="F1152" s="2">
        <v>1033167.48</v>
      </c>
      <c r="G1152" s="2">
        <v>316183.74</v>
      </c>
    </row>
    <row r="1153" spans="1:7" x14ac:dyDescent="0.25">
      <c r="A1153" s="1">
        <v>45017</v>
      </c>
      <c r="B1153" t="s">
        <v>91</v>
      </c>
      <c r="C1153" t="s">
        <v>79</v>
      </c>
      <c r="D1153" s="2">
        <v>11267521.699999999</v>
      </c>
      <c r="E1153" s="2">
        <v>2770448.81</v>
      </c>
      <c r="F1153" s="2">
        <v>832885.81</v>
      </c>
      <c r="G1153" s="2">
        <v>12760198.439999999</v>
      </c>
    </row>
    <row r="1154" spans="1:7" x14ac:dyDescent="0.25">
      <c r="A1154" s="1">
        <v>45017</v>
      </c>
      <c r="B1154" t="s">
        <v>23</v>
      </c>
      <c r="C1154" t="s">
        <v>12</v>
      </c>
      <c r="D1154" s="2">
        <v>404255177.69</v>
      </c>
      <c r="E1154" s="2">
        <v>151365963.75999999</v>
      </c>
      <c r="F1154" s="2">
        <v>154410216.88</v>
      </c>
      <c r="G1154" s="2">
        <v>16805037.539999999</v>
      </c>
    </row>
    <row r="1155" spans="1:7" x14ac:dyDescent="0.25">
      <c r="A1155" s="1">
        <v>45017</v>
      </c>
      <c r="B1155" t="s">
        <v>11</v>
      </c>
      <c r="C1155" t="s">
        <v>72</v>
      </c>
      <c r="D1155" s="2">
        <v>59782717.630000003</v>
      </c>
      <c r="E1155" s="2">
        <v>52987515.880000003</v>
      </c>
      <c r="F1155" s="2">
        <v>52737259.32</v>
      </c>
      <c r="G1155">
        <v>0</v>
      </c>
    </row>
    <row r="1156" spans="1:7" x14ac:dyDescent="0.25">
      <c r="A1156" s="1">
        <v>45017</v>
      </c>
      <c r="B1156" t="s">
        <v>23</v>
      </c>
      <c r="C1156" t="s">
        <v>121</v>
      </c>
      <c r="D1156" s="2">
        <v>5927408.6200000001</v>
      </c>
      <c r="E1156" s="2">
        <v>2922876.36</v>
      </c>
      <c r="F1156" s="2">
        <v>2964679.21</v>
      </c>
      <c r="G1156" s="2">
        <v>1915464.41</v>
      </c>
    </row>
    <row r="1157" spans="1:7" x14ac:dyDescent="0.25">
      <c r="A1157" s="1">
        <v>45017</v>
      </c>
      <c r="B1157" t="s">
        <v>26</v>
      </c>
      <c r="C1157" t="s">
        <v>57</v>
      </c>
      <c r="D1157" s="2">
        <v>435679770.00999999</v>
      </c>
      <c r="E1157" s="2">
        <v>95109590.400000006</v>
      </c>
      <c r="F1157" s="2">
        <v>95152266.5</v>
      </c>
      <c r="G1157" s="2">
        <v>2538499.1</v>
      </c>
    </row>
    <row r="1158" spans="1:7" x14ac:dyDescent="0.25">
      <c r="A1158" s="1">
        <v>45017</v>
      </c>
      <c r="B1158" t="s">
        <v>54</v>
      </c>
      <c r="C1158" t="s">
        <v>55</v>
      </c>
      <c r="D1158" s="2">
        <v>24270.36</v>
      </c>
      <c r="E1158">
        <v>0</v>
      </c>
      <c r="F1158">
        <v>0</v>
      </c>
      <c r="G1158" s="2">
        <v>1943.97</v>
      </c>
    </row>
    <row r="1159" spans="1:7" x14ac:dyDescent="0.25">
      <c r="A1159" s="1">
        <v>45017</v>
      </c>
      <c r="B1159" t="s">
        <v>54</v>
      </c>
      <c r="C1159" t="s">
        <v>101</v>
      </c>
      <c r="D1159" s="2">
        <v>37344.43</v>
      </c>
      <c r="E1159" s="2">
        <v>16263.15</v>
      </c>
      <c r="F1159" s="2">
        <v>13851.8</v>
      </c>
      <c r="G1159" s="2">
        <v>40879877.799999997</v>
      </c>
    </row>
    <row r="1160" spans="1:7" x14ac:dyDescent="0.25">
      <c r="A1160" s="1">
        <v>45017</v>
      </c>
      <c r="B1160" t="s">
        <v>54</v>
      </c>
      <c r="C1160" t="s">
        <v>116</v>
      </c>
      <c r="D1160" s="2">
        <v>1947095498.5799999</v>
      </c>
      <c r="E1160" s="2">
        <v>97197714.680000007</v>
      </c>
      <c r="F1160" s="2">
        <v>94729852.659999996</v>
      </c>
      <c r="G1160" s="2">
        <v>104721788.22</v>
      </c>
    </row>
    <row r="1161" spans="1:7" x14ac:dyDescent="0.25">
      <c r="A1161" s="1">
        <v>45017</v>
      </c>
      <c r="B1161" t="s">
        <v>43</v>
      </c>
      <c r="C1161" t="s">
        <v>122</v>
      </c>
      <c r="D1161" s="2">
        <v>263457.51</v>
      </c>
      <c r="E1161" s="2">
        <v>204003.32</v>
      </c>
      <c r="F1161" s="2">
        <v>246274.41</v>
      </c>
      <c r="G1161" s="2">
        <v>324044.67</v>
      </c>
    </row>
    <row r="1162" spans="1:7" x14ac:dyDescent="0.25">
      <c r="A1162" s="1">
        <v>45017</v>
      </c>
      <c r="B1162" t="s">
        <v>28</v>
      </c>
      <c r="C1162" t="s">
        <v>72</v>
      </c>
      <c r="D1162" s="2">
        <v>11712207.619999999</v>
      </c>
      <c r="E1162" s="2">
        <v>23040490.82</v>
      </c>
      <c r="F1162" s="2">
        <v>25545946.489999998</v>
      </c>
      <c r="G1162">
        <v>0</v>
      </c>
    </row>
    <row r="1163" spans="1:7" x14ac:dyDescent="0.25">
      <c r="A1163" s="1">
        <v>45017</v>
      </c>
      <c r="B1163" t="s">
        <v>17</v>
      </c>
      <c r="C1163" t="s">
        <v>57</v>
      </c>
      <c r="D1163" s="2">
        <v>21742003.48</v>
      </c>
      <c r="E1163" s="2">
        <v>641599111.82000005</v>
      </c>
      <c r="F1163" s="2">
        <v>318919914.19</v>
      </c>
      <c r="G1163" s="2">
        <v>4251199.95</v>
      </c>
    </row>
    <row r="1164" spans="1:7" x14ac:dyDescent="0.25">
      <c r="A1164" s="1">
        <v>45017</v>
      </c>
      <c r="B1164" t="s">
        <v>91</v>
      </c>
      <c r="C1164" t="s">
        <v>57</v>
      </c>
      <c r="D1164" s="2">
        <v>252338929.49000001</v>
      </c>
      <c r="E1164" s="2">
        <v>142629841.25999999</v>
      </c>
      <c r="F1164" s="2">
        <v>147954646.72</v>
      </c>
      <c r="G1164" s="2">
        <v>12441630.060000001</v>
      </c>
    </row>
    <row r="1165" spans="1:7" x14ac:dyDescent="0.25">
      <c r="A1165" s="1">
        <v>45017</v>
      </c>
      <c r="B1165" t="s">
        <v>7</v>
      </c>
      <c r="C1165" t="s">
        <v>22</v>
      </c>
      <c r="D1165" s="2">
        <v>155814713.37</v>
      </c>
      <c r="E1165" s="2">
        <v>617666272.46000004</v>
      </c>
      <c r="F1165" s="2">
        <v>617653447.54999995</v>
      </c>
      <c r="G1165" s="2">
        <v>16868.990000000002</v>
      </c>
    </row>
    <row r="1166" spans="1:7" x14ac:dyDescent="0.25">
      <c r="A1166" s="1">
        <v>45017</v>
      </c>
      <c r="B1166" t="s">
        <v>7</v>
      </c>
      <c r="C1166" t="s">
        <v>123</v>
      </c>
      <c r="D1166" s="2">
        <v>7357823.8399999999</v>
      </c>
      <c r="E1166" s="2">
        <v>2092476.54</v>
      </c>
      <c r="F1166" s="2">
        <v>2655295.1800000002</v>
      </c>
      <c r="G1166" s="2">
        <v>1732357.32</v>
      </c>
    </row>
    <row r="1167" spans="1:7" x14ac:dyDescent="0.25">
      <c r="A1167" s="1">
        <v>45017</v>
      </c>
      <c r="B1167" t="s">
        <v>47</v>
      </c>
      <c r="C1167" t="s">
        <v>14</v>
      </c>
      <c r="D1167" s="2">
        <v>39660396.049999997</v>
      </c>
      <c r="E1167">
        <v>0</v>
      </c>
      <c r="F1167">
        <v>0</v>
      </c>
      <c r="G1167" s="2">
        <v>2972918.05</v>
      </c>
    </row>
    <row r="1168" spans="1:7" x14ac:dyDescent="0.25">
      <c r="A1168" s="1">
        <v>45017</v>
      </c>
      <c r="B1168" t="s">
        <v>13</v>
      </c>
      <c r="C1168" t="s">
        <v>34</v>
      </c>
      <c r="D1168" s="2">
        <v>260653052.47</v>
      </c>
      <c r="E1168" s="2">
        <v>144152610.63999999</v>
      </c>
      <c r="F1168" s="2">
        <v>92236747.109999999</v>
      </c>
      <c r="G1168" s="2">
        <v>29873565.239999998</v>
      </c>
    </row>
    <row r="1169" spans="1:7" x14ac:dyDescent="0.25">
      <c r="A1169" s="1">
        <v>45017</v>
      </c>
      <c r="B1169" t="s">
        <v>13</v>
      </c>
      <c r="C1169" t="s">
        <v>103</v>
      </c>
      <c r="D1169" s="2">
        <v>63439261.969999999</v>
      </c>
      <c r="E1169" s="2">
        <v>46347684.310000002</v>
      </c>
      <c r="F1169" s="2">
        <v>262874063.72999999</v>
      </c>
      <c r="G1169" s="2">
        <v>30997694.010000002</v>
      </c>
    </row>
    <row r="1170" spans="1:7" x14ac:dyDescent="0.25">
      <c r="A1170" s="1">
        <v>45017</v>
      </c>
      <c r="B1170" t="s">
        <v>13</v>
      </c>
      <c r="C1170" t="s">
        <v>55</v>
      </c>
      <c r="D1170" s="2">
        <v>374616.09</v>
      </c>
      <c r="E1170" s="2">
        <v>269509.51</v>
      </c>
      <c r="F1170" s="2">
        <v>271419.03999999998</v>
      </c>
      <c r="G1170" s="2">
        <v>3038948.9</v>
      </c>
    </row>
    <row r="1171" spans="1:7" x14ac:dyDescent="0.25">
      <c r="A1171" s="1">
        <v>45017</v>
      </c>
      <c r="B1171" t="s">
        <v>7</v>
      </c>
      <c r="C1171" t="s">
        <v>72</v>
      </c>
      <c r="D1171" s="2">
        <v>69666375.469999999</v>
      </c>
      <c r="E1171" s="2">
        <v>300412414.70999998</v>
      </c>
      <c r="F1171" s="2">
        <v>248901144.69999999</v>
      </c>
      <c r="G1171">
        <v>0</v>
      </c>
    </row>
    <row r="1172" spans="1:7" x14ac:dyDescent="0.25">
      <c r="A1172" s="1">
        <v>45017</v>
      </c>
      <c r="B1172" t="s">
        <v>54</v>
      </c>
      <c r="C1172" t="s">
        <v>103</v>
      </c>
      <c r="D1172" s="2">
        <v>196813642.52000001</v>
      </c>
      <c r="E1172" s="2">
        <v>4094064.16</v>
      </c>
      <c r="F1172" s="2">
        <v>4023753.5</v>
      </c>
      <c r="G1172" s="2">
        <v>6677524.3700000001</v>
      </c>
    </row>
    <row r="1173" spans="1:7" x14ac:dyDescent="0.25">
      <c r="A1173" s="1">
        <v>45017</v>
      </c>
      <c r="B1173" t="s">
        <v>13</v>
      </c>
      <c r="C1173" t="s">
        <v>72</v>
      </c>
      <c r="D1173" s="2">
        <v>662491.13</v>
      </c>
      <c r="E1173" s="2">
        <v>7607738.7800000003</v>
      </c>
      <c r="F1173" s="2">
        <v>7444708.1600000001</v>
      </c>
      <c r="G1173">
        <v>0</v>
      </c>
    </row>
    <row r="1174" spans="1:7" x14ac:dyDescent="0.25">
      <c r="A1174" s="1">
        <v>45017</v>
      </c>
      <c r="B1174" t="s">
        <v>23</v>
      </c>
      <c r="C1174" t="s">
        <v>115</v>
      </c>
      <c r="D1174" s="2">
        <v>448782046.41000003</v>
      </c>
      <c r="E1174" s="2">
        <v>644788663.90999997</v>
      </c>
      <c r="F1174" s="2">
        <v>586991987.62</v>
      </c>
      <c r="G1174" s="2">
        <v>1090693302.98</v>
      </c>
    </row>
    <row r="1175" spans="1:7" x14ac:dyDescent="0.25">
      <c r="A1175" s="1">
        <v>45017</v>
      </c>
      <c r="B1175" t="s">
        <v>28</v>
      </c>
      <c r="C1175" t="s">
        <v>125</v>
      </c>
      <c r="D1175" s="2">
        <v>1684800788.3699999</v>
      </c>
      <c r="E1175" s="2">
        <v>7699007508.2399998</v>
      </c>
      <c r="F1175" s="2">
        <v>7651357199.1000004</v>
      </c>
      <c r="G1175" s="2">
        <v>35623.93</v>
      </c>
    </row>
    <row r="1176" spans="1:7" x14ac:dyDescent="0.25">
      <c r="A1176" s="1">
        <v>45017</v>
      </c>
      <c r="B1176" t="s">
        <v>33</v>
      </c>
      <c r="C1176" t="s">
        <v>75</v>
      </c>
      <c r="D1176" s="2">
        <v>55627010.210000001</v>
      </c>
      <c r="E1176" s="2">
        <v>15560164.83</v>
      </c>
      <c r="F1176" s="2">
        <v>15967100.630000001</v>
      </c>
      <c r="G1176" s="2">
        <v>4078125.16</v>
      </c>
    </row>
    <row r="1177" spans="1:7" x14ac:dyDescent="0.25">
      <c r="A1177" s="1">
        <v>45017</v>
      </c>
      <c r="B1177" t="s">
        <v>7</v>
      </c>
      <c r="C1177" t="s">
        <v>130</v>
      </c>
      <c r="D1177" s="2">
        <v>92117267.950000003</v>
      </c>
      <c r="E1177" s="2">
        <v>56489203</v>
      </c>
      <c r="F1177" s="2">
        <v>51250153.079999998</v>
      </c>
      <c r="G1177" s="2">
        <v>37442237.149999999</v>
      </c>
    </row>
    <row r="1178" spans="1:7" x14ac:dyDescent="0.25">
      <c r="A1178" s="1">
        <v>45017</v>
      </c>
      <c r="B1178" t="s">
        <v>26</v>
      </c>
      <c r="C1178" t="s">
        <v>18</v>
      </c>
      <c r="D1178" s="2">
        <v>760076.76</v>
      </c>
      <c r="E1178" s="2">
        <v>612450.28</v>
      </c>
      <c r="F1178" s="2">
        <v>558265.93999999994</v>
      </c>
      <c r="G1178" s="2">
        <v>6615956.9900000002</v>
      </c>
    </row>
    <row r="1179" spans="1:7" x14ac:dyDescent="0.25">
      <c r="A1179" s="1">
        <v>45017</v>
      </c>
      <c r="B1179" t="s">
        <v>52</v>
      </c>
      <c r="C1179" t="s">
        <v>57</v>
      </c>
      <c r="D1179" s="2">
        <v>29484051.350000001</v>
      </c>
      <c r="E1179" s="2">
        <v>60377169.579999998</v>
      </c>
      <c r="F1179" s="2">
        <v>59841357.780000001</v>
      </c>
      <c r="G1179" s="2">
        <v>109092.81</v>
      </c>
    </row>
    <row r="1180" spans="1:7" x14ac:dyDescent="0.25">
      <c r="A1180" s="1">
        <v>45017</v>
      </c>
      <c r="B1180" t="s">
        <v>7</v>
      </c>
      <c r="C1180" t="s">
        <v>57</v>
      </c>
      <c r="D1180" s="2">
        <v>160852671.77000001</v>
      </c>
      <c r="E1180" s="2">
        <v>74578103.700000003</v>
      </c>
      <c r="F1180" s="2">
        <v>75673211.709999993</v>
      </c>
      <c r="G1180" s="2">
        <v>7556565.71</v>
      </c>
    </row>
    <row r="1181" spans="1:7" x14ac:dyDescent="0.25">
      <c r="A1181" s="1">
        <v>45017</v>
      </c>
      <c r="B1181" t="s">
        <v>17</v>
      </c>
      <c r="C1181" t="s">
        <v>40</v>
      </c>
      <c r="D1181" s="2">
        <v>657052405.32000005</v>
      </c>
      <c r="E1181" s="2">
        <v>329087964.98000002</v>
      </c>
      <c r="F1181" s="2">
        <v>328597960.04000002</v>
      </c>
      <c r="G1181" s="2">
        <v>198444206.63999999</v>
      </c>
    </row>
    <row r="1182" spans="1:7" x14ac:dyDescent="0.25">
      <c r="A1182" s="1">
        <v>45017</v>
      </c>
      <c r="B1182" t="s">
        <v>13</v>
      </c>
      <c r="C1182" t="s">
        <v>67</v>
      </c>
      <c r="D1182" s="2">
        <v>7927060.1500000004</v>
      </c>
      <c r="E1182" s="2">
        <v>5698524.4900000002</v>
      </c>
      <c r="F1182" s="2">
        <v>4404566.6100000003</v>
      </c>
      <c r="G1182" s="2">
        <v>13198617.109999999</v>
      </c>
    </row>
    <row r="1183" spans="1:7" x14ac:dyDescent="0.25">
      <c r="A1183" s="1">
        <v>45017</v>
      </c>
      <c r="B1183" t="s">
        <v>27</v>
      </c>
      <c r="C1183" t="s">
        <v>72</v>
      </c>
      <c r="D1183">
        <v>0</v>
      </c>
      <c r="E1183" s="2">
        <v>9024717.75</v>
      </c>
      <c r="F1183" s="2">
        <v>4925293.8600000003</v>
      </c>
      <c r="G1183">
        <v>0</v>
      </c>
    </row>
    <row r="1184" spans="1:7" x14ac:dyDescent="0.25">
      <c r="A1184" s="1">
        <v>45017</v>
      </c>
      <c r="B1184" t="s">
        <v>11</v>
      </c>
      <c r="C1184" t="s">
        <v>71</v>
      </c>
      <c r="D1184" s="2">
        <v>2623921.09</v>
      </c>
      <c r="E1184" s="2">
        <v>2735412.54</v>
      </c>
      <c r="F1184" s="2">
        <v>2717798.9</v>
      </c>
      <c r="G1184" s="2">
        <v>1020.78</v>
      </c>
    </row>
    <row r="1185" spans="1:7" x14ac:dyDescent="0.25">
      <c r="A1185" s="1">
        <v>45017</v>
      </c>
      <c r="B1185" t="s">
        <v>37</v>
      </c>
      <c r="C1185" t="s">
        <v>72</v>
      </c>
      <c r="D1185" s="2">
        <v>433301.81</v>
      </c>
      <c r="E1185" s="2">
        <v>1639500.49</v>
      </c>
      <c r="F1185" s="2">
        <v>1421273.52</v>
      </c>
      <c r="G1185">
        <v>0</v>
      </c>
    </row>
    <row r="1186" spans="1:7" x14ac:dyDescent="0.25">
      <c r="A1186" s="1">
        <v>45017</v>
      </c>
      <c r="B1186" t="s">
        <v>7</v>
      </c>
      <c r="C1186" t="s">
        <v>81</v>
      </c>
      <c r="D1186" s="2">
        <v>3000000</v>
      </c>
      <c r="E1186" s="2">
        <v>223577467.94</v>
      </c>
      <c r="F1186" s="2">
        <v>223568039.03999999</v>
      </c>
      <c r="G1186" s="2">
        <v>115064.33</v>
      </c>
    </row>
    <row r="1187" spans="1:7" x14ac:dyDescent="0.25">
      <c r="A1187" s="1">
        <v>45017</v>
      </c>
      <c r="B1187" t="s">
        <v>62</v>
      </c>
      <c r="C1187" t="s">
        <v>57</v>
      </c>
      <c r="D1187" s="2">
        <v>156333947.47999999</v>
      </c>
      <c r="E1187" s="2">
        <v>45850080.759999998</v>
      </c>
      <c r="F1187" s="2">
        <v>42906065.899999999</v>
      </c>
      <c r="G1187" s="2">
        <v>2822319.6</v>
      </c>
    </row>
    <row r="1188" spans="1:7" x14ac:dyDescent="0.25">
      <c r="A1188" s="1">
        <v>45017</v>
      </c>
      <c r="B1188" t="s">
        <v>69</v>
      </c>
      <c r="C1188" t="s">
        <v>59</v>
      </c>
      <c r="D1188" s="2">
        <v>41138169.619999997</v>
      </c>
      <c r="E1188" s="2">
        <v>9650165.6799999997</v>
      </c>
      <c r="F1188" s="2">
        <v>8870504.3000000007</v>
      </c>
      <c r="G1188" s="2">
        <v>5661725.2199999997</v>
      </c>
    </row>
    <row r="1189" spans="1:7" x14ac:dyDescent="0.25">
      <c r="A1189" s="1">
        <v>45017</v>
      </c>
      <c r="B1189" t="s">
        <v>7</v>
      </c>
      <c r="C1189" t="s">
        <v>58</v>
      </c>
      <c r="D1189" s="2">
        <v>10540704.24</v>
      </c>
      <c r="E1189" s="2">
        <v>492255333.66000003</v>
      </c>
      <c r="F1189" s="2">
        <v>492102071.48000002</v>
      </c>
      <c r="G1189" s="2">
        <v>2735826.72</v>
      </c>
    </row>
    <row r="1190" spans="1:7" x14ac:dyDescent="0.25">
      <c r="A1190" s="1">
        <v>45017</v>
      </c>
      <c r="B1190" t="s">
        <v>15</v>
      </c>
      <c r="C1190" t="s">
        <v>57</v>
      </c>
      <c r="D1190" s="2">
        <v>70187211.209999993</v>
      </c>
      <c r="E1190" s="2">
        <v>54665450.369999997</v>
      </c>
      <c r="F1190" s="2">
        <v>58576026.990000002</v>
      </c>
      <c r="G1190" s="2">
        <v>3541169.86</v>
      </c>
    </row>
    <row r="1191" spans="1:7" x14ac:dyDescent="0.25">
      <c r="A1191" s="1">
        <v>45017</v>
      </c>
      <c r="B1191" t="s">
        <v>15</v>
      </c>
      <c r="C1191" t="s">
        <v>103</v>
      </c>
      <c r="D1191" s="2">
        <v>8698600.9399999995</v>
      </c>
      <c r="E1191" s="2">
        <v>7104308.1799999997</v>
      </c>
      <c r="F1191" s="2">
        <v>5088443.9400000004</v>
      </c>
      <c r="G1191" s="2">
        <v>1025.92</v>
      </c>
    </row>
    <row r="1192" spans="1:7" x14ac:dyDescent="0.25">
      <c r="A1192" s="1">
        <v>45017</v>
      </c>
      <c r="B1192" t="s">
        <v>23</v>
      </c>
      <c r="C1192" t="s">
        <v>117</v>
      </c>
      <c r="D1192" s="2">
        <v>371846176.00999999</v>
      </c>
      <c r="E1192" s="2">
        <v>85260994.599999994</v>
      </c>
      <c r="F1192" s="2">
        <v>83238926.200000003</v>
      </c>
      <c r="G1192" s="2">
        <v>5405900.54</v>
      </c>
    </row>
    <row r="1193" spans="1:7" x14ac:dyDescent="0.25">
      <c r="A1193" s="1">
        <v>45017</v>
      </c>
      <c r="B1193" t="s">
        <v>17</v>
      </c>
      <c r="C1193" t="s">
        <v>78</v>
      </c>
      <c r="D1193">
        <v>0</v>
      </c>
      <c r="E1193">
        <v>0</v>
      </c>
      <c r="F1193">
        <v>0</v>
      </c>
      <c r="G1193" s="2">
        <v>8507899.5999999996</v>
      </c>
    </row>
    <row r="1194" spans="1:7" x14ac:dyDescent="0.25">
      <c r="A1194" s="1">
        <v>45017</v>
      </c>
      <c r="B1194" t="s">
        <v>11</v>
      </c>
      <c r="C1194" t="s">
        <v>39</v>
      </c>
      <c r="D1194" s="2">
        <v>865459.54</v>
      </c>
      <c r="E1194" s="2">
        <v>570800.46</v>
      </c>
      <c r="F1194" s="2">
        <v>570800.46</v>
      </c>
      <c r="G1194" s="2">
        <v>134052.74</v>
      </c>
    </row>
    <row r="1195" spans="1:7" x14ac:dyDescent="0.25">
      <c r="A1195" s="1">
        <v>45017</v>
      </c>
      <c r="B1195" t="s">
        <v>17</v>
      </c>
      <c r="C1195" t="s">
        <v>93</v>
      </c>
      <c r="D1195" s="2">
        <v>1452560.17</v>
      </c>
      <c r="E1195" s="2">
        <v>354175.85</v>
      </c>
      <c r="F1195" s="2">
        <v>340249.82</v>
      </c>
      <c r="G1195" s="2">
        <v>2447795.08</v>
      </c>
    </row>
    <row r="1196" spans="1:7" x14ac:dyDescent="0.25">
      <c r="A1196" s="1">
        <v>45017</v>
      </c>
      <c r="B1196" t="s">
        <v>13</v>
      </c>
      <c r="C1196" t="s">
        <v>57</v>
      </c>
      <c r="D1196" s="2">
        <v>64442407.18</v>
      </c>
      <c r="E1196" s="2">
        <v>118214365.98999999</v>
      </c>
      <c r="F1196" s="2">
        <v>115653266.97</v>
      </c>
      <c r="G1196" s="2">
        <v>13781193.02</v>
      </c>
    </row>
    <row r="1197" spans="1:7" x14ac:dyDescent="0.25">
      <c r="A1197" s="1">
        <v>45017</v>
      </c>
      <c r="B1197" t="s">
        <v>47</v>
      </c>
      <c r="C1197" t="s">
        <v>75</v>
      </c>
      <c r="D1197" s="2">
        <v>9797826.7200000007</v>
      </c>
      <c r="E1197" s="2">
        <v>1379739.29</v>
      </c>
      <c r="F1197" s="2">
        <v>1377065.12</v>
      </c>
      <c r="G1197" s="2">
        <v>36068.07</v>
      </c>
    </row>
    <row r="1198" spans="1:7" x14ac:dyDescent="0.25">
      <c r="A1198" s="1">
        <v>45017</v>
      </c>
      <c r="B1198" t="s">
        <v>17</v>
      </c>
      <c r="C1198" t="s">
        <v>39</v>
      </c>
      <c r="D1198" s="2">
        <v>4294536.28</v>
      </c>
      <c r="E1198" s="2">
        <v>2869724.46</v>
      </c>
      <c r="F1198" s="2">
        <v>2583134.73</v>
      </c>
      <c r="G1198" s="2">
        <v>117013.12</v>
      </c>
    </row>
    <row r="1199" spans="1:7" x14ac:dyDescent="0.25">
      <c r="A1199" s="1">
        <v>45017</v>
      </c>
      <c r="B1199" t="s">
        <v>28</v>
      </c>
      <c r="C1199" t="s">
        <v>124</v>
      </c>
      <c r="D1199" s="2">
        <v>205670197.40000001</v>
      </c>
      <c r="E1199" s="2">
        <v>64376170780.910004</v>
      </c>
      <c r="F1199" s="2">
        <v>64501377056.709999</v>
      </c>
      <c r="G1199" s="2">
        <v>1395246.07</v>
      </c>
    </row>
    <row r="1200" spans="1:7" x14ac:dyDescent="0.25">
      <c r="A1200" s="1">
        <v>45017</v>
      </c>
      <c r="B1200" t="s">
        <v>54</v>
      </c>
      <c r="C1200" t="s">
        <v>12</v>
      </c>
      <c r="D1200" s="2">
        <v>23226699.09</v>
      </c>
      <c r="E1200" s="2">
        <v>5110507.75</v>
      </c>
      <c r="F1200" s="2">
        <v>3860083.07</v>
      </c>
      <c r="G1200" s="2">
        <v>3902284.66</v>
      </c>
    </row>
    <row r="1201" spans="1:7" x14ac:dyDescent="0.25">
      <c r="A1201" s="1">
        <v>45017</v>
      </c>
      <c r="B1201" t="s">
        <v>52</v>
      </c>
      <c r="C1201" t="s">
        <v>101</v>
      </c>
      <c r="D1201">
        <v>0</v>
      </c>
      <c r="E1201">
        <v>0</v>
      </c>
      <c r="F1201">
        <v>0</v>
      </c>
      <c r="G1201" s="2">
        <v>687186894.25999999</v>
      </c>
    </row>
    <row r="1202" spans="1:7" x14ac:dyDescent="0.25">
      <c r="A1202" s="1">
        <v>45017</v>
      </c>
      <c r="B1202" t="s">
        <v>43</v>
      </c>
      <c r="C1202" t="s">
        <v>66</v>
      </c>
      <c r="D1202" s="2">
        <v>205339.02</v>
      </c>
      <c r="E1202" s="2">
        <v>66580.05</v>
      </c>
      <c r="F1202" s="2">
        <v>56152.09</v>
      </c>
      <c r="G1202" s="2">
        <v>553315.94999999995</v>
      </c>
    </row>
    <row r="1203" spans="1:7" x14ac:dyDescent="0.25">
      <c r="A1203" s="1">
        <v>45017</v>
      </c>
      <c r="B1203" t="s">
        <v>54</v>
      </c>
      <c r="C1203" t="s">
        <v>20</v>
      </c>
      <c r="D1203" s="2">
        <v>9183487.6300000008</v>
      </c>
      <c r="E1203" s="2">
        <v>1535825.08</v>
      </c>
      <c r="F1203" s="2">
        <v>1662790.99</v>
      </c>
      <c r="G1203" s="2">
        <v>3666539.7</v>
      </c>
    </row>
    <row r="1204" spans="1:7" x14ac:dyDescent="0.25">
      <c r="A1204" s="1">
        <v>45017</v>
      </c>
      <c r="B1204" t="s">
        <v>65</v>
      </c>
      <c r="C1204" t="s">
        <v>57</v>
      </c>
      <c r="D1204" s="2">
        <v>10407086.65</v>
      </c>
      <c r="E1204" s="2">
        <v>169990175.16</v>
      </c>
      <c r="F1204" s="2">
        <v>166681407.93000001</v>
      </c>
      <c r="G1204" s="2">
        <v>593009.13</v>
      </c>
    </row>
    <row r="1205" spans="1:7" x14ac:dyDescent="0.25">
      <c r="A1205" s="1">
        <v>45017</v>
      </c>
      <c r="B1205" t="s">
        <v>31</v>
      </c>
      <c r="C1205" t="s">
        <v>22</v>
      </c>
      <c r="D1205" s="2">
        <v>1070381652.35</v>
      </c>
      <c r="E1205" s="2">
        <v>1718270214.8599999</v>
      </c>
      <c r="F1205" s="2">
        <v>1708850491.4000001</v>
      </c>
      <c r="G1205" s="2">
        <v>780471267.22000003</v>
      </c>
    </row>
    <row r="1206" spans="1:7" x14ac:dyDescent="0.25">
      <c r="A1206" s="1">
        <v>45017</v>
      </c>
      <c r="B1206" t="s">
        <v>37</v>
      </c>
      <c r="C1206" t="s">
        <v>75</v>
      </c>
      <c r="D1206" s="2">
        <v>7781113.4699999997</v>
      </c>
      <c r="E1206" s="2">
        <v>3390582.8</v>
      </c>
      <c r="F1206" s="2">
        <v>3262435.32</v>
      </c>
      <c r="G1206" s="2">
        <v>1196475.6299999999</v>
      </c>
    </row>
    <row r="1207" spans="1:7" x14ac:dyDescent="0.25">
      <c r="A1207" s="1">
        <v>45017</v>
      </c>
      <c r="B1207" t="s">
        <v>69</v>
      </c>
      <c r="C1207" t="s">
        <v>122</v>
      </c>
      <c r="D1207" s="2">
        <v>167411518.21000001</v>
      </c>
      <c r="E1207" s="2">
        <v>199983051.5</v>
      </c>
      <c r="F1207" s="2">
        <v>193205970.56999999</v>
      </c>
      <c r="G1207" s="2">
        <v>137899021.56999999</v>
      </c>
    </row>
    <row r="1208" spans="1:7" x14ac:dyDescent="0.25">
      <c r="A1208" s="1">
        <v>45017</v>
      </c>
      <c r="B1208" t="s">
        <v>54</v>
      </c>
      <c r="C1208" t="s">
        <v>78</v>
      </c>
      <c r="D1208" s="2">
        <v>1617524.61</v>
      </c>
      <c r="E1208">
        <v>0</v>
      </c>
      <c r="F1208">
        <v>0</v>
      </c>
      <c r="G1208" s="2">
        <v>149169014.31</v>
      </c>
    </row>
    <row r="1209" spans="1:7" x14ac:dyDescent="0.25">
      <c r="A1209" s="1">
        <v>45017</v>
      </c>
      <c r="B1209" t="s">
        <v>9</v>
      </c>
      <c r="C1209" t="s">
        <v>112</v>
      </c>
      <c r="D1209" s="2">
        <v>98102786.359999999</v>
      </c>
      <c r="E1209" s="2">
        <v>82472019.790000007</v>
      </c>
      <c r="F1209" s="2">
        <v>110842854.03</v>
      </c>
      <c r="G1209" s="2">
        <v>16386383.77</v>
      </c>
    </row>
    <row r="1210" spans="1:7" x14ac:dyDescent="0.25">
      <c r="A1210" s="1">
        <v>45017</v>
      </c>
      <c r="B1210" t="s">
        <v>36</v>
      </c>
      <c r="C1210" t="s">
        <v>58</v>
      </c>
      <c r="D1210" s="2">
        <v>1842805.8</v>
      </c>
      <c r="E1210">
        <v>0</v>
      </c>
      <c r="F1210">
        <v>0</v>
      </c>
      <c r="G1210" s="2">
        <v>10512957.949999999</v>
      </c>
    </row>
    <row r="1211" spans="1:7" x14ac:dyDescent="0.25">
      <c r="A1211" s="1">
        <v>45017</v>
      </c>
      <c r="B1211" t="s">
        <v>31</v>
      </c>
      <c r="C1211" t="s">
        <v>29</v>
      </c>
      <c r="D1211" s="2">
        <v>4641241199.6999998</v>
      </c>
      <c r="E1211" s="2">
        <v>28312886483.400002</v>
      </c>
      <c r="F1211" s="2">
        <v>27691496062.07</v>
      </c>
      <c r="G1211" s="2">
        <v>209498366.63</v>
      </c>
    </row>
    <row r="1212" spans="1:7" x14ac:dyDescent="0.25">
      <c r="A1212" s="1">
        <v>45017</v>
      </c>
      <c r="B1212" t="s">
        <v>43</v>
      </c>
      <c r="C1212" t="s">
        <v>127</v>
      </c>
      <c r="D1212" s="2">
        <v>6322083.2599999998</v>
      </c>
      <c r="E1212" s="2">
        <v>1422802.42</v>
      </c>
      <c r="F1212" s="2">
        <v>2467644.5299999998</v>
      </c>
      <c r="G1212" s="2">
        <v>1191305.04</v>
      </c>
    </row>
    <row r="1213" spans="1:7" x14ac:dyDescent="0.25">
      <c r="A1213" s="1">
        <v>45017</v>
      </c>
      <c r="B1213" t="s">
        <v>37</v>
      </c>
      <c r="C1213" t="s">
        <v>57</v>
      </c>
      <c r="D1213" s="2">
        <v>68480776.900000006</v>
      </c>
      <c r="E1213" s="2">
        <v>32486112.280000001</v>
      </c>
      <c r="F1213" s="2">
        <v>32224537.850000001</v>
      </c>
      <c r="G1213" s="2">
        <v>6100220.3300000001</v>
      </c>
    </row>
    <row r="1214" spans="1:7" x14ac:dyDescent="0.25">
      <c r="A1214" s="1">
        <v>45017</v>
      </c>
      <c r="B1214" t="s">
        <v>9</v>
      </c>
      <c r="C1214" t="s">
        <v>128</v>
      </c>
      <c r="D1214" s="2">
        <v>292352642.44</v>
      </c>
      <c r="E1214" s="2">
        <v>147208635.47999999</v>
      </c>
      <c r="F1214" s="2">
        <v>112298977.13</v>
      </c>
      <c r="G1214" s="2">
        <v>116665348.27</v>
      </c>
    </row>
    <row r="1215" spans="1:7" x14ac:dyDescent="0.25">
      <c r="A1215" s="1">
        <v>45017</v>
      </c>
      <c r="B1215" t="s">
        <v>11</v>
      </c>
      <c r="C1215" t="s">
        <v>107</v>
      </c>
      <c r="D1215" s="2">
        <v>10651944.08</v>
      </c>
      <c r="E1215" s="2">
        <v>3819420.5</v>
      </c>
      <c r="F1215" s="2">
        <v>3823340.63</v>
      </c>
      <c r="G1215" s="2">
        <v>705177.36</v>
      </c>
    </row>
    <row r="1216" spans="1:7" x14ac:dyDescent="0.25">
      <c r="A1216" s="1">
        <v>45017</v>
      </c>
      <c r="B1216" t="s">
        <v>54</v>
      </c>
      <c r="C1216" t="s">
        <v>75</v>
      </c>
      <c r="D1216" s="2">
        <v>26954072.940000001</v>
      </c>
      <c r="E1216" s="2">
        <v>6882961.2400000002</v>
      </c>
      <c r="F1216" s="2">
        <v>4894211.17</v>
      </c>
      <c r="G1216" s="2">
        <v>6686653.6399999997</v>
      </c>
    </row>
    <row r="1217" spans="1:7" x14ac:dyDescent="0.25">
      <c r="A1217" s="1">
        <v>45017</v>
      </c>
      <c r="B1217" t="s">
        <v>17</v>
      </c>
      <c r="C1217" t="s">
        <v>103</v>
      </c>
      <c r="D1217" s="2">
        <v>28377627.789999999</v>
      </c>
      <c r="E1217" s="2">
        <v>13665953.710000001</v>
      </c>
      <c r="F1217" s="2">
        <v>12584991.15</v>
      </c>
      <c r="G1217" s="2">
        <v>13311702.859999999</v>
      </c>
    </row>
    <row r="1218" spans="1:7" x14ac:dyDescent="0.25">
      <c r="A1218" s="1">
        <v>45017</v>
      </c>
      <c r="B1218" t="s">
        <v>9</v>
      </c>
      <c r="C1218" t="s">
        <v>57</v>
      </c>
      <c r="D1218" s="2">
        <v>376310714.68000001</v>
      </c>
      <c r="E1218" s="2">
        <v>579066267.12</v>
      </c>
      <c r="F1218" s="2">
        <v>598379266.91999996</v>
      </c>
      <c r="G1218" s="2">
        <v>11415282.609999999</v>
      </c>
    </row>
    <row r="1219" spans="1:7" x14ac:dyDescent="0.25">
      <c r="A1219" s="1">
        <v>45017</v>
      </c>
      <c r="B1219" t="s">
        <v>54</v>
      </c>
      <c r="C1219" t="s">
        <v>68</v>
      </c>
      <c r="D1219" s="2">
        <v>5841358.04</v>
      </c>
      <c r="E1219" s="2">
        <v>719568.79</v>
      </c>
      <c r="F1219" s="2">
        <v>503135.5</v>
      </c>
      <c r="G1219" s="2">
        <v>1063231.92</v>
      </c>
    </row>
    <row r="1220" spans="1:7" x14ac:dyDescent="0.25">
      <c r="A1220" s="1">
        <v>45017</v>
      </c>
      <c r="B1220" t="s">
        <v>7</v>
      </c>
      <c r="C1220" t="s">
        <v>12</v>
      </c>
      <c r="D1220" s="2">
        <v>3905373.01</v>
      </c>
      <c r="E1220" s="2">
        <v>2040061.07</v>
      </c>
      <c r="F1220" s="2">
        <v>1729087.68</v>
      </c>
      <c r="G1220" s="2">
        <v>1055758.82</v>
      </c>
    </row>
    <row r="1221" spans="1:7" x14ac:dyDescent="0.25">
      <c r="A1221" s="1">
        <v>45017</v>
      </c>
      <c r="B1221" t="s">
        <v>23</v>
      </c>
      <c r="C1221" t="s">
        <v>57</v>
      </c>
      <c r="D1221" s="2">
        <v>243950222.88</v>
      </c>
      <c r="E1221" s="2">
        <v>571963298.27999997</v>
      </c>
      <c r="F1221" s="2">
        <v>564576653.66999996</v>
      </c>
      <c r="G1221" s="2">
        <v>17505339.460000001</v>
      </c>
    </row>
    <row r="1222" spans="1:7" x14ac:dyDescent="0.25">
      <c r="A1222" s="1">
        <v>45017</v>
      </c>
      <c r="B1222" t="s">
        <v>54</v>
      </c>
      <c r="C1222" t="s">
        <v>129</v>
      </c>
      <c r="D1222" s="2">
        <v>171285506.97999999</v>
      </c>
      <c r="E1222" s="2">
        <v>20836554.309999999</v>
      </c>
      <c r="F1222" s="2">
        <v>18661373.890000001</v>
      </c>
      <c r="G1222" s="2">
        <v>141830047.34</v>
      </c>
    </row>
    <row r="1223" spans="1:7" x14ac:dyDescent="0.25">
      <c r="A1223" s="1">
        <v>45017</v>
      </c>
      <c r="B1223" t="s">
        <v>69</v>
      </c>
      <c r="C1223" t="s">
        <v>57</v>
      </c>
      <c r="D1223" s="2">
        <v>53722481.979999997</v>
      </c>
      <c r="E1223" s="2">
        <v>91488045.329999998</v>
      </c>
      <c r="F1223" s="2">
        <v>92822942.239999995</v>
      </c>
      <c r="G1223" s="2">
        <v>3783346.97</v>
      </c>
    </row>
    <row r="1224" spans="1:7" x14ac:dyDescent="0.25">
      <c r="A1224" s="1">
        <v>45017</v>
      </c>
      <c r="B1224" t="s">
        <v>11</v>
      </c>
      <c r="C1224" t="s">
        <v>50</v>
      </c>
      <c r="D1224" s="2">
        <v>396588441</v>
      </c>
      <c r="E1224" s="2">
        <v>84939440.120000005</v>
      </c>
      <c r="F1224" s="2">
        <v>84726313.870000005</v>
      </c>
      <c r="G1224" s="2">
        <v>896305.01</v>
      </c>
    </row>
    <row r="1225" spans="1:7" x14ac:dyDescent="0.25">
      <c r="A1225" s="1">
        <v>45017</v>
      </c>
      <c r="B1225" t="s">
        <v>23</v>
      </c>
      <c r="C1225" t="s">
        <v>102</v>
      </c>
      <c r="D1225" s="2">
        <v>6713780793.9300003</v>
      </c>
      <c r="E1225" s="2">
        <v>6429024733.9799995</v>
      </c>
      <c r="F1225" s="2">
        <v>6378232877.3800001</v>
      </c>
      <c r="G1225" s="2">
        <v>352729774.99000001</v>
      </c>
    </row>
    <row r="1226" spans="1:7" x14ac:dyDescent="0.25">
      <c r="A1226" s="1">
        <v>45017</v>
      </c>
      <c r="B1226" t="s">
        <v>104</v>
      </c>
      <c r="C1226" t="s">
        <v>74</v>
      </c>
      <c r="D1226">
        <v>0</v>
      </c>
      <c r="E1226">
        <v>0</v>
      </c>
      <c r="F1226">
        <v>0</v>
      </c>
      <c r="G1226" s="2">
        <v>39342393.939999998</v>
      </c>
    </row>
    <row r="1227" spans="1:7" x14ac:dyDescent="0.25">
      <c r="A1227" s="1">
        <v>45017</v>
      </c>
      <c r="B1227" t="s">
        <v>33</v>
      </c>
      <c r="C1227" t="s">
        <v>79</v>
      </c>
      <c r="D1227" s="2">
        <v>171859425.44999999</v>
      </c>
      <c r="E1227" s="2">
        <v>54713467.009999998</v>
      </c>
      <c r="F1227" s="2">
        <v>60963540.280000001</v>
      </c>
      <c r="G1227" s="2">
        <v>38832347.079999998</v>
      </c>
    </row>
    <row r="1228" spans="1:7" x14ac:dyDescent="0.25">
      <c r="A1228" s="1">
        <v>45017</v>
      </c>
      <c r="B1228" t="s">
        <v>33</v>
      </c>
      <c r="C1228" t="s">
        <v>57</v>
      </c>
      <c r="D1228" s="2">
        <v>883737692.45000005</v>
      </c>
      <c r="E1228" s="2">
        <v>1535424166.96</v>
      </c>
      <c r="F1228" s="2">
        <v>1502133826.3099999</v>
      </c>
      <c r="G1228" s="2">
        <v>60499245.210000001</v>
      </c>
    </row>
    <row r="1229" spans="1:7" x14ac:dyDescent="0.25">
      <c r="A1229" s="1">
        <v>45017</v>
      </c>
      <c r="B1229" t="s">
        <v>23</v>
      </c>
      <c r="C1229" t="s">
        <v>34</v>
      </c>
      <c r="D1229" s="2">
        <v>105118442.53</v>
      </c>
      <c r="E1229" s="2">
        <v>66937760.789999999</v>
      </c>
      <c r="F1229" s="2">
        <v>57906261.460000001</v>
      </c>
      <c r="G1229" s="2">
        <v>40893104.920000002</v>
      </c>
    </row>
    <row r="1230" spans="1:7" x14ac:dyDescent="0.25">
      <c r="A1230" s="1">
        <v>45017</v>
      </c>
      <c r="B1230" t="s">
        <v>7</v>
      </c>
      <c r="C1230" t="s">
        <v>68</v>
      </c>
      <c r="D1230" s="2">
        <v>849745400.66999996</v>
      </c>
      <c r="E1230" s="2">
        <v>976711080.13</v>
      </c>
      <c r="F1230" s="2">
        <v>963459601.97000003</v>
      </c>
      <c r="G1230" s="2">
        <v>134948762.19</v>
      </c>
    </row>
    <row r="1231" spans="1:7" x14ac:dyDescent="0.25">
      <c r="A1231" s="1">
        <v>45017</v>
      </c>
      <c r="B1231" t="s">
        <v>54</v>
      </c>
      <c r="C1231" t="s">
        <v>120</v>
      </c>
      <c r="D1231" s="2">
        <v>1121340749.3299999</v>
      </c>
      <c r="E1231" s="2">
        <v>71805531.140000001</v>
      </c>
      <c r="F1231" s="2">
        <v>46962464.049999997</v>
      </c>
      <c r="G1231" s="2">
        <v>31563634.739999998</v>
      </c>
    </row>
    <row r="1232" spans="1:7" x14ac:dyDescent="0.25">
      <c r="A1232" s="1">
        <v>45017</v>
      </c>
      <c r="B1232" t="s">
        <v>7</v>
      </c>
      <c r="C1232" t="s">
        <v>102</v>
      </c>
      <c r="D1232" s="2">
        <v>160428571.22</v>
      </c>
      <c r="E1232" s="2">
        <v>828847620.91999996</v>
      </c>
      <c r="F1232" s="2">
        <v>773763593.52999997</v>
      </c>
      <c r="G1232" s="2">
        <v>40359799.43</v>
      </c>
    </row>
    <row r="1233" spans="1:7" x14ac:dyDescent="0.25">
      <c r="A1233" s="1">
        <v>45017</v>
      </c>
      <c r="B1233" t="s">
        <v>17</v>
      </c>
      <c r="C1233" t="s">
        <v>75</v>
      </c>
      <c r="D1233" s="2">
        <v>14139129.1</v>
      </c>
      <c r="E1233" s="2">
        <v>9548410.1899999995</v>
      </c>
      <c r="F1233" s="2">
        <v>8608311.6400000006</v>
      </c>
      <c r="G1233" s="2">
        <v>3827987.13</v>
      </c>
    </row>
    <row r="1234" spans="1:7" x14ac:dyDescent="0.25">
      <c r="A1234" s="1">
        <v>45017</v>
      </c>
      <c r="B1234" t="s">
        <v>65</v>
      </c>
      <c r="C1234" t="s">
        <v>72</v>
      </c>
      <c r="D1234" s="2">
        <v>8608805453.8500004</v>
      </c>
      <c r="E1234" s="2">
        <v>8617586280.2900009</v>
      </c>
      <c r="F1234" s="2">
        <v>8610289408.4400005</v>
      </c>
      <c r="G1234" s="2">
        <v>5226826</v>
      </c>
    </row>
    <row r="1235" spans="1:7" x14ac:dyDescent="0.25">
      <c r="A1235" s="1">
        <v>45017</v>
      </c>
      <c r="B1235" t="s">
        <v>7</v>
      </c>
      <c r="C1235" t="s">
        <v>95</v>
      </c>
      <c r="D1235" s="2">
        <v>829338438.87</v>
      </c>
      <c r="E1235" s="2">
        <v>258745600.94</v>
      </c>
      <c r="F1235" s="2">
        <v>194227806.81999999</v>
      </c>
      <c r="G1235" s="2">
        <v>123925716.95999999</v>
      </c>
    </row>
    <row r="1236" spans="1:7" x14ac:dyDescent="0.25">
      <c r="A1236" s="1">
        <v>45017</v>
      </c>
      <c r="B1236" t="s">
        <v>54</v>
      </c>
      <c r="C1236" t="s">
        <v>57</v>
      </c>
      <c r="D1236" s="2">
        <v>1573160349.03</v>
      </c>
      <c r="E1236" s="2">
        <v>5053530343.1899996</v>
      </c>
      <c r="F1236" s="2">
        <v>5194986347.2299995</v>
      </c>
      <c r="G1236" s="2">
        <v>69206023.689999998</v>
      </c>
    </row>
    <row r="1237" spans="1:7" x14ac:dyDescent="0.25">
      <c r="A1237" s="1">
        <v>45017</v>
      </c>
      <c r="B1237" t="s">
        <v>26</v>
      </c>
      <c r="C1237" t="s">
        <v>72</v>
      </c>
      <c r="D1237" s="2">
        <v>13502426.970000001</v>
      </c>
      <c r="E1237" s="2">
        <v>10793176.66</v>
      </c>
      <c r="F1237" s="2">
        <v>10626038.98</v>
      </c>
      <c r="G1237">
        <v>0</v>
      </c>
    </row>
    <row r="1238" spans="1:7" x14ac:dyDescent="0.25">
      <c r="A1238" s="1">
        <v>45017</v>
      </c>
      <c r="B1238" t="s">
        <v>33</v>
      </c>
      <c r="C1238" t="s">
        <v>90</v>
      </c>
      <c r="D1238" s="2">
        <v>49110309.609999999</v>
      </c>
      <c r="E1238" s="2">
        <v>6787166.8399999999</v>
      </c>
      <c r="F1238" s="2">
        <v>7450350.2800000003</v>
      </c>
      <c r="G1238" s="2">
        <v>766275.53</v>
      </c>
    </row>
    <row r="1239" spans="1:7" x14ac:dyDescent="0.25">
      <c r="A1239" s="1">
        <v>45017</v>
      </c>
      <c r="B1239" t="s">
        <v>54</v>
      </c>
      <c r="C1239" t="s">
        <v>72</v>
      </c>
      <c r="D1239" s="2">
        <v>473221414.14999998</v>
      </c>
      <c r="E1239" s="2">
        <v>476884755.57999998</v>
      </c>
      <c r="F1239" s="2">
        <v>551814795.97000003</v>
      </c>
      <c r="G1239" s="2">
        <v>58204074.579999998</v>
      </c>
    </row>
    <row r="1240" spans="1:7" x14ac:dyDescent="0.25">
      <c r="A1240" s="1">
        <v>45017</v>
      </c>
      <c r="B1240" t="s">
        <v>11</v>
      </c>
      <c r="C1240" t="s">
        <v>57</v>
      </c>
      <c r="D1240" s="2">
        <v>335641114.76999998</v>
      </c>
      <c r="E1240" s="2">
        <v>143322372.65000001</v>
      </c>
      <c r="F1240" s="2">
        <v>144041369.97999999</v>
      </c>
      <c r="G1240" s="2">
        <v>2824519.6</v>
      </c>
    </row>
    <row r="1241" spans="1:7" x14ac:dyDescent="0.25">
      <c r="A1241" s="1">
        <v>45017</v>
      </c>
      <c r="B1241" t="s">
        <v>7</v>
      </c>
      <c r="C1241" t="s">
        <v>100</v>
      </c>
      <c r="D1241" s="2">
        <v>4135206033.98</v>
      </c>
      <c r="E1241" s="2">
        <v>2928838860.77</v>
      </c>
      <c r="F1241" s="2">
        <v>2628418635.2800002</v>
      </c>
      <c r="G1241" s="2">
        <v>190193770.03999999</v>
      </c>
    </row>
    <row r="1242" spans="1:7" x14ac:dyDescent="0.25">
      <c r="A1242" s="1">
        <v>45017</v>
      </c>
      <c r="B1242" t="s">
        <v>37</v>
      </c>
      <c r="C1242" t="s">
        <v>117</v>
      </c>
      <c r="D1242" s="2">
        <v>2522246.67</v>
      </c>
      <c r="E1242" s="2">
        <v>1218752.55</v>
      </c>
      <c r="F1242" s="2">
        <v>1170671.1399999999</v>
      </c>
      <c r="G1242" s="2">
        <v>1836586.29</v>
      </c>
    </row>
    <row r="1243" spans="1:7" x14ac:dyDescent="0.25">
      <c r="A1243" s="1">
        <v>45017</v>
      </c>
      <c r="B1243" t="s">
        <v>23</v>
      </c>
      <c r="C1243" t="s">
        <v>78</v>
      </c>
      <c r="D1243" s="2">
        <v>2455847299.0599999</v>
      </c>
      <c r="E1243" s="2">
        <v>2203891621.9099998</v>
      </c>
      <c r="F1243" s="2">
        <v>2202076302.3800001</v>
      </c>
      <c r="G1243" s="2">
        <v>146457028.53</v>
      </c>
    </row>
    <row r="1244" spans="1:7" x14ac:dyDescent="0.25">
      <c r="A1244" s="1">
        <v>45047</v>
      </c>
      <c r="B1244" t="s">
        <v>27</v>
      </c>
      <c r="C1244" t="s">
        <v>42</v>
      </c>
      <c r="D1244">
        <v>0</v>
      </c>
      <c r="E1244">
        <v>0</v>
      </c>
      <c r="F1244">
        <v>0</v>
      </c>
      <c r="G1244" s="2">
        <v>20310</v>
      </c>
    </row>
    <row r="1245" spans="1:7" x14ac:dyDescent="0.25">
      <c r="A1245" s="1">
        <v>45047</v>
      </c>
      <c r="B1245" t="s">
        <v>9</v>
      </c>
      <c r="C1245" t="s">
        <v>10</v>
      </c>
      <c r="D1245" s="2">
        <v>599117.63</v>
      </c>
      <c r="E1245" s="2">
        <v>613317.63</v>
      </c>
      <c r="F1245" s="2">
        <v>585017.63</v>
      </c>
      <c r="G1245">
        <v>0</v>
      </c>
    </row>
    <row r="1246" spans="1:7" x14ac:dyDescent="0.25">
      <c r="A1246" s="1">
        <v>45047</v>
      </c>
      <c r="B1246" t="s">
        <v>36</v>
      </c>
      <c r="C1246" t="s">
        <v>113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 s="1">
        <v>45047</v>
      </c>
      <c r="B1247" t="s">
        <v>91</v>
      </c>
      <c r="C1247" t="s">
        <v>16</v>
      </c>
      <c r="D1247" s="2">
        <v>273900</v>
      </c>
      <c r="E1247">
        <v>0</v>
      </c>
      <c r="F1247">
        <v>0</v>
      </c>
      <c r="G1247">
        <v>0</v>
      </c>
    </row>
    <row r="1248" spans="1:7" x14ac:dyDescent="0.25">
      <c r="A1248" s="1">
        <v>45047</v>
      </c>
      <c r="B1248" t="s">
        <v>33</v>
      </c>
      <c r="C1248" t="s">
        <v>50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 s="1">
        <v>45047</v>
      </c>
      <c r="B1249" t="s">
        <v>7</v>
      </c>
      <c r="C1249" t="s">
        <v>94</v>
      </c>
      <c r="D1249" s="2">
        <v>505000000</v>
      </c>
      <c r="E1249" s="2">
        <v>122495865.91</v>
      </c>
      <c r="F1249" s="2">
        <v>122495865.91</v>
      </c>
      <c r="G1249" s="2">
        <v>18351073.510000002</v>
      </c>
    </row>
    <row r="1250" spans="1:7" x14ac:dyDescent="0.25">
      <c r="A1250" s="1">
        <v>45047</v>
      </c>
      <c r="B1250" t="s">
        <v>43</v>
      </c>
      <c r="C1250" t="s">
        <v>89</v>
      </c>
      <c r="D1250">
        <v>0</v>
      </c>
      <c r="E1250">
        <v>0</v>
      </c>
      <c r="F1250">
        <v>0</v>
      </c>
      <c r="G1250" s="2">
        <v>38880</v>
      </c>
    </row>
    <row r="1251" spans="1:7" x14ac:dyDescent="0.25">
      <c r="A1251" s="1">
        <v>45047</v>
      </c>
      <c r="B1251" t="s">
        <v>26</v>
      </c>
      <c r="C1251" t="s">
        <v>78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 s="1">
        <v>45047</v>
      </c>
      <c r="B1252" t="s">
        <v>28</v>
      </c>
      <c r="C1252" t="s">
        <v>25</v>
      </c>
      <c r="D1252">
        <v>0</v>
      </c>
      <c r="E1252">
        <v>0</v>
      </c>
      <c r="F1252">
        <v>0</v>
      </c>
      <c r="G1252">
        <v>880.91</v>
      </c>
    </row>
    <row r="1253" spans="1:7" x14ac:dyDescent="0.25">
      <c r="A1253" s="1">
        <v>45047</v>
      </c>
      <c r="B1253" t="s">
        <v>91</v>
      </c>
      <c r="C1253" t="s">
        <v>22</v>
      </c>
      <c r="D1253">
        <v>0</v>
      </c>
      <c r="E1253" s="2">
        <v>15705203.449999999</v>
      </c>
      <c r="F1253" s="2">
        <v>15713975.65</v>
      </c>
      <c r="G1253">
        <v>0</v>
      </c>
    </row>
    <row r="1254" spans="1:7" x14ac:dyDescent="0.25">
      <c r="A1254" s="1">
        <v>45047</v>
      </c>
      <c r="B1254" t="s">
        <v>21</v>
      </c>
      <c r="C1254" t="s">
        <v>22</v>
      </c>
      <c r="D1254">
        <v>0</v>
      </c>
      <c r="E1254">
        <v>0</v>
      </c>
      <c r="F1254">
        <v>0</v>
      </c>
      <c r="G1254" s="2">
        <v>13373.42</v>
      </c>
    </row>
    <row r="1255" spans="1:7" x14ac:dyDescent="0.25">
      <c r="A1255" s="1">
        <v>45047</v>
      </c>
      <c r="B1255" t="s">
        <v>17</v>
      </c>
      <c r="C1255" t="s">
        <v>66</v>
      </c>
      <c r="D1255">
        <v>0</v>
      </c>
      <c r="E1255">
        <v>0</v>
      </c>
      <c r="F1255">
        <v>0</v>
      </c>
      <c r="G1255" s="2">
        <v>405540.2</v>
      </c>
    </row>
    <row r="1256" spans="1:7" x14ac:dyDescent="0.25">
      <c r="A1256" s="1">
        <v>45047</v>
      </c>
      <c r="B1256" t="s">
        <v>15</v>
      </c>
      <c r="C1256" t="s">
        <v>22</v>
      </c>
      <c r="D1256">
        <v>0</v>
      </c>
      <c r="E1256" s="2">
        <v>4400512.58</v>
      </c>
      <c r="F1256" s="2">
        <v>4377510.96</v>
      </c>
      <c r="G1256">
        <v>0</v>
      </c>
    </row>
    <row r="1257" spans="1:7" x14ac:dyDescent="0.25">
      <c r="A1257" s="1">
        <v>45047</v>
      </c>
      <c r="B1257" t="s">
        <v>23</v>
      </c>
      <c r="C1257" t="s">
        <v>58</v>
      </c>
      <c r="D1257" s="2">
        <v>26956.86</v>
      </c>
      <c r="E1257" s="2">
        <v>57180.87</v>
      </c>
      <c r="F1257" s="2">
        <v>57180.87</v>
      </c>
      <c r="G1257" s="2">
        <v>26589</v>
      </c>
    </row>
    <row r="1258" spans="1:7" x14ac:dyDescent="0.25">
      <c r="A1258" s="1">
        <v>45047</v>
      </c>
      <c r="B1258" t="s">
        <v>21</v>
      </c>
      <c r="C1258" t="s">
        <v>39</v>
      </c>
      <c r="D1258">
        <v>0</v>
      </c>
      <c r="E1258">
        <v>0</v>
      </c>
      <c r="F1258">
        <v>0</v>
      </c>
      <c r="G1258" s="2">
        <v>72456.850000000006</v>
      </c>
    </row>
    <row r="1259" spans="1:7" x14ac:dyDescent="0.25">
      <c r="A1259" s="1">
        <v>45047</v>
      </c>
      <c r="B1259" t="s">
        <v>27</v>
      </c>
      <c r="C1259" t="s">
        <v>22</v>
      </c>
      <c r="D1259">
        <v>0</v>
      </c>
      <c r="E1259" s="2">
        <v>26829554.120000001</v>
      </c>
      <c r="F1259" s="2">
        <v>26829554.120000001</v>
      </c>
      <c r="G1259">
        <v>0</v>
      </c>
    </row>
    <row r="1260" spans="1:7" x14ac:dyDescent="0.25">
      <c r="A1260" s="1">
        <v>45047</v>
      </c>
      <c r="B1260" t="s">
        <v>17</v>
      </c>
      <c r="C1260" t="s">
        <v>22</v>
      </c>
      <c r="D1260">
        <v>0</v>
      </c>
      <c r="E1260" s="2">
        <v>15861186.539999999</v>
      </c>
      <c r="F1260" s="2">
        <v>15861186.539999999</v>
      </c>
      <c r="G1260">
        <v>0</v>
      </c>
    </row>
    <row r="1261" spans="1:7" x14ac:dyDescent="0.25">
      <c r="A1261" s="1">
        <v>45047</v>
      </c>
      <c r="B1261" t="s">
        <v>33</v>
      </c>
      <c r="C1261" t="s">
        <v>16</v>
      </c>
      <c r="D1261">
        <v>0</v>
      </c>
      <c r="E1261" s="2">
        <v>13308883.52</v>
      </c>
      <c r="F1261" s="2">
        <v>13308883.52</v>
      </c>
      <c r="G1261" s="2">
        <v>4706305.71</v>
      </c>
    </row>
    <row r="1262" spans="1:7" x14ac:dyDescent="0.25">
      <c r="A1262" s="1">
        <v>45047</v>
      </c>
      <c r="B1262" t="s">
        <v>11</v>
      </c>
      <c r="C1262" t="s">
        <v>22</v>
      </c>
      <c r="D1262" s="2">
        <v>6271890</v>
      </c>
      <c r="E1262" s="2">
        <v>13129722.279999999</v>
      </c>
      <c r="F1262" s="2">
        <v>13129722.279999999</v>
      </c>
      <c r="G1262">
        <v>0</v>
      </c>
    </row>
    <row r="1263" spans="1:7" x14ac:dyDescent="0.25">
      <c r="A1263" s="1">
        <v>45047</v>
      </c>
      <c r="B1263" t="s">
        <v>33</v>
      </c>
      <c r="C1263" t="s">
        <v>34</v>
      </c>
      <c r="D1263">
        <v>0</v>
      </c>
      <c r="E1263" s="2">
        <v>1584026.42</v>
      </c>
      <c r="F1263" s="2">
        <v>1584026.42</v>
      </c>
      <c r="G1263">
        <v>0</v>
      </c>
    </row>
    <row r="1264" spans="1:7" x14ac:dyDescent="0.25">
      <c r="A1264" s="1">
        <v>45047</v>
      </c>
      <c r="B1264" t="s">
        <v>52</v>
      </c>
      <c r="C1264" t="s">
        <v>132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 s="1">
        <v>45047</v>
      </c>
      <c r="B1265" t="s">
        <v>13</v>
      </c>
      <c r="C1265" t="s">
        <v>79</v>
      </c>
      <c r="D1265" s="2">
        <v>2200000</v>
      </c>
      <c r="E1265">
        <v>0</v>
      </c>
      <c r="F1265">
        <v>0</v>
      </c>
      <c r="G1265" s="2">
        <v>100000</v>
      </c>
    </row>
    <row r="1266" spans="1:7" x14ac:dyDescent="0.25">
      <c r="A1266" s="1">
        <v>45047</v>
      </c>
      <c r="B1266" t="s">
        <v>17</v>
      </c>
      <c r="C1266" t="s">
        <v>68</v>
      </c>
      <c r="D1266">
        <v>0</v>
      </c>
      <c r="E1266">
        <v>0</v>
      </c>
      <c r="F1266">
        <v>0</v>
      </c>
      <c r="G1266" s="2">
        <v>1800</v>
      </c>
    </row>
    <row r="1267" spans="1:7" x14ac:dyDescent="0.25">
      <c r="A1267" s="1">
        <v>45047</v>
      </c>
      <c r="B1267" t="s">
        <v>11</v>
      </c>
      <c r="C1267" t="s">
        <v>78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 s="1">
        <v>45047</v>
      </c>
      <c r="B1268" t="s">
        <v>36</v>
      </c>
      <c r="C1268" t="s">
        <v>14</v>
      </c>
      <c r="D1268" s="2">
        <v>144086.57</v>
      </c>
      <c r="E1268" s="2">
        <v>8289137.1399999997</v>
      </c>
      <c r="F1268" s="2">
        <v>8289137.1399999997</v>
      </c>
      <c r="G1268">
        <v>0</v>
      </c>
    </row>
    <row r="1269" spans="1:7" x14ac:dyDescent="0.25">
      <c r="A1269" s="1">
        <v>45047</v>
      </c>
      <c r="B1269" t="s">
        <v>15</v>
      </c>
      <c r="C1269" t="s">
        <v>30</v>
      </c>
      <c r="D1269">
        <v>0</v>
      </c>
      <c r="E1269" s="2">
        <v>227312.5</v>
      </c>
      <c r="F1269" s="2">
        <v>227312.5</v>
      </c>
      <c r="G1269">
        <v>0</v>
      </c>
    </row>
    <row r="1270" spans="1:7" x14ac:dyDescent="0.25">
      <c r="A1270" s="1">
        <v>45047</v>
      </c>
      <c r="B1270" t="s">
        <v>62</v>
      </c>
      <c r="C1270" t="s">
        <v>39</v>
      </c>
      <c r="D1270">
        <v>0</v>
      </c>
      <c r="E1270">
        <v>0</v>
      </c>
      <c r="F1270">
        <v>0</v>
      </c>
      <c r="G1270" s="2">
        <v>200000000</v>
      </c>
    </row>
    <row r="1271" spans="1:7" x14ac:dyDescent="0.25">
      <c r="A1271" s="1">
        <v>45047</v>
      </c>
      <c r="B1271" t="s">
        <v>23</v>
      </c>
      <c r="C1271" t="s">
        <v>22</v>
      </c>
      <c r="D1271" s="2">
        <v>12000000</v>
      </c>
      <c r="E1271" s="2">
        <v>82963879.709999993</v>
      </c>
      <c r="F1271" s="2">
        <v>82963879.709999993</v>
      </c>
      <c r="G1271">
        <v>0</v>
      </c>
    </row>
    <row r="1272" spans="1:7" x14ac:dyDescent="0.25">
      <c r="A1272" s="1">
        <v>45047</v>
      </c>
      <c r="B1272" t="s">
        <v>36</v>
      </c>
      <c r="C1272" t="s">
        <v>121</v>
      </c>
      <c r="D1272" s="2">
        <v>1307.3800000000001</v>
      </c>
      <c r="E1272" s="2">
        <v>1307.3800000000001</v>
      </c>
      <c r="F1272" s="2">
        <v>1307.3800000000001</v>
      </c>
      <c r="G1272" s="2">
        <v>3354</v>
      </c>
    </row>
    <row r="1273" spans="1:7" x14ac:dyDescent="0.25">
      <c r="A1273" s="1">
        <v>45047</v>
      </c>
      <c r="B1273" t="s">
        <v>13</v>
      </c>
      <c r="C1273" t="s">
        <v>59</v>
      </c>
      <c r="D1273" s="2">
        <v>91000</v>
      </c>
      <c r="E1273" s="2">
        <v>19249.34</v>
      </c>
      <c r="F1273" s="2">
        <v>19249.34</v>
      </c>
      <c r="G1273">
        <v>0</v>
      </c>
    </row>
    <row r="1274" spans="1:7" x14ac:dyDescent="0.25">
      <c r="A1274" s="1">
        <v>45047</v>
      </c>
      <c r="B1274" t="s">
        <v>62</v>
      </c>
      <c r="C1274" t="s">
        <v>78</v>
      </c>
      <c r="D1274">
        <v>0</v>
      </c>
      <c r="E1274">
        <v>0</v>
      </c>
      <c r="F1274">
        <v>0</v>
      </c>
      <c r="G1274" s="2">
        <v>22934.28</v>
      </c>
    </row>
    <row r="1275" spans="1:7" x14ac:dyDescent="0.25">
      <c r="A1275" s="1">
        <v>45047</v>
      </c>
      <c r="B1275" t="s">
        <v>37</v>
      </c>
      <c r="C1275" t="s">
        <v>16</v>
      </c>
      <c r="D1275" s="2">
        <v>43990</v>
      </c>
      <c r="E1275">
        <v>0</v>
      </c>
      <c r="F1275">
        <v>0</v>
      </c>
      <c r="G1275" s="2">
        <v>128619.52</v>
      </c>
    </row>
    <row r="1276" spans="1:7" x14ac:dyDescent="0.25">
      <c r="A1276" s="1">
        <v>45047</v>
      </c>
      <c r="B1276" t="s">
        <v>62</v>
      </c>
      <c r="C1276" t="s">
        <v>63</v>
      </c>
      <c r="D1276">
        <v>0</v>
      </c>
      <c r="E1276">
        <v>0</v>
      </c>
      <c r="F1276">
        <v>0</v>
      </c>
      <c r="G1276" s="2">
        <v>142860.81</v>
      </c>
    </row>
    <row r="1277" spans="1:7" x14ac:dyDescent="0.25">
      <c r="A1277" s="1">
        <v>45047</v>
      </c>
      <c r="B1277" t="s">
        <v>47</v>
      </c>
      <c r="C1277" t="s">
        <v>103</v>
      </c>
      <c r="D1277" s="2">
        <v>301634088.14999998</v>
      </c>
      <c r="E1277" s="2">
        <v>3531343.15</v>
      </c>
      <c r="F1277" s="2">
        <v>3531343.15</v>
      </c>
      <c r="G1277">
        <v>0</v>
      </c>
    </row>
    <row r="1278" spans="1:7" x14ac:dyDescent="0.25">
      <c r="A1278" s="1">
        <v>45047</v>
      </c>
      <c r="B1278" t="s">
        <v>15</v>
      </c>
      <c r="C1278" t="s">
        <v>51</v>
      </c>
      <c r="D1278" s="2">
        <v>90500</v>
      </c>
      <c r="E1278" s="2">
        <v>342497.34</v>
      </c>
      <c r="F1278" s="2">
        <v>330344.8</v>
      </c>
      <c r="G1278" s="2">
        <v>70503.009999999995</v>
      </c>
    </row>
    <row r="1279" spans="1:7" x14ac:dyDescent="0.25">
      <c r="A1279" s="1">
        <v>45047</v>
      </c>
      <c r="B1279" t="s">
        <v>47</v>
      </c>
      <c r="C1279" t="s">
        <v>22</v>
      </c>
      <c r="D1279">
        <v>0</v>
      </c>
      <c r="E1279" s="2">
        <v>4227757.58</v>
      </c>
      <c r="F1279" s="2">
        <v>4227757.58</v>
      </c>
      <c r="G1279">
        <v>0</v>
      </c>
    </row>
    <row r="1280" spans="1:7" x14ac:dyDescent="0.25">
      <c r="A1280" s="1">
        <v>45047</v>
      </c>
      <c r="B1280" t="s">
        <v>23</v>
      </c>
      <c r="C1280" t="s">
        <v>16</v>
      </c>
      <c r="D1280" s="2">
        <v>23544824.82</v>
      </c>
      <c r="E1280" s="2">
        <v>15431910.59</v>
      </c>
      <c r="F1280" s="2">
        <v>17114064.870000001</v>
      </c>
      <c r="G1280" s="2">
        <v>6172941.25</v>
      </c>
    </row>
    <row r="1281" spans="1:7" x14ac:dyDescent="0.25">
      <c r="A1281" s="1">
        <v>45047</v>
      </c>
      <c r="B1281" t="s">
        <v>11</v>
      </c>
      <c r="C1281" t="s">
        <v>12</v>
      </c>
      <c r="D1281" s="2">
        <v>177320.95999999999</v>
      </c>
      <c r="E1281" s="2">
        <v>225470.67</v>
      </c>
      <c r="F1281" s="2">
        <v>214843.66</v>
      </c>
      <c r="G1281">
        <v>0</v>
      </c>
    </row>
    <row r="1282" spans="1:7" x14ac:dyDescent="0.25">
      <c r="A1282" s="1">
        <v>45047</v>
      </c>
      <c r="B1282" t="s">
        <v>27</v>
      </c>
      <c r="C1282" t="s">
        <v>56</v>
      </c>
      <c r="D1282">
        <v>0</v>
      </c>
      <c r="E1282" s="2">
        <v>28939.97</v>
      </c>
      <c r="F1282" s="2">
        <v>28939.97</v>
      </c>
      <c r="G1282" s="2">
        <v>73333.320000000007</v>
      </c>
    </row>
    <row r="1283" spans="1:7" x14ac:dyDescent="0.25">
      <c r="A1283" s="1">
        <v>45047</v>
      </c>
      <c r="B1283" t="s">
        <v>26</v>
      </c>
      <c r="C1283" t="s">
        <v>101</v>
      </c>
      <c r="D1283" s="2">
        <v>468040642</v>
      </c>
      <c r="E1283" s="2">
        <v>156013547</v>
      </c>
      <c r="F1283" s="2">
        <v>156013547</v>
      </c>
      <c r="G1283">
        <v>0</v>
      </c>
    </row>
    <row r="1284" spans="1:7" x14ac:dyDescent="0.25">
      <c r="A1284" s="1">
        <v>45047</v>
      </c>
      <c r="B1284" t="s">
        <v>28</v>
      </c>
      <c r="C1284" t="s">
        <v>78</v>
      </c>
      <c r="D1284">
        <v>0</v>
      </c>
      <c r="E1284">
        <v>0</v>
      </c>
      <c r="F1284">
        <v>0</v>
      </c>
      <c r="G1284" s="2">
        <v>59279.34</v>
      </c>
    </row>
    <row r="1285" spans="1:7" x14ac:dyDescent="0.25">
      <c r="A1285" s="1">
        <v>45047</v>
      </c>
      <c r="B1285" t="s">
        <v>54</v>
      </c>
      <c r="C1285" t="s">
        <v>8</v>
      </c>
      <c r="D1285" s="2">
        <v>682730</v>
      </c>
      <c r="E1285" s="2">
        <v>25432.28</v>
      </c>
      <c r="F1285" s="2">
        <v>25432.28</v>
      </c>
      <c r="G1285" s="2">
        <v>188451.24</v>
      </c>
    </row>
    <row r="1286" spans="1:7" x14ac:dyDescent="0.25">
      <c r="A1286" s="1">
        <v>45047</v>
      </c>
      <c r="B1286" t="s">
        <v>15</v>
      </c>
      <c r="C1286" t="s">
        <v>60</v>
      </c>
      <c r="D1286" s="2">
        <v>16015670.050000001</v>
      </c>
      <c r="E1286" s="2">
        <v>1663480.36</v>
      </c>
      <c r="F1286" s="2">
        <v>1617368.52</v>
      </c>
      <c r="G1286">
        <v>0</v>
      </c>
    </row>
    <row r="1287" spans="1:7" x14ac:dyDescent="0.25">
      <c r="A1287" s="1">
        <v>45047</v>
      </c>
      <c r="B1287" t="s">
        <v>9</v>
      </c>
      <c r="C1287" t="s">
        <v>22</v>
      </c>
      <c r="D1287">
        <v>0</v>
      </c>
      <c r="E1287" s="2">
        <v>114275131.65000001</v>
      </c>
      <c r="F1287" s="2">
        <v>114275131.65000001</v>
      </c>
      <c r="G1287">
        <v>0</v>
      </c>
    </row>
    <row r="1288" spans="1:7" x14ac:dyDescent="0.25">
      <c r="A1288" s="1">
        <v>45047</v>
      </c>
      <c r="B1288" t="s">
        <v>13</v>
      </c>
      <c r="C1288" t="s">
        <v>20</v>
      </c>
      <c r="D1288" s="2">
        <v>409074.81</v>
      </c>
      <c r="E1288" s="2">
        <v>67611.03</v>
      </c>
      <c r="F1288" s="2">
        <v>68837.14</v>
      </c>
      <c r="G1288" s="2">
        <v>270800</v>
      </c>
    </row>
    <row r="1289" spans="1:7" x14ac:dyDescent="0.25">
      <c r="A1289" s="1">
        <v>45047</v>
      </c>
      <c r="B1289" t="s">
        <v>69</v>
      </c>
      <c r="C1289" t="s">
        <v>22</v>
      </c>
      <c r="D1289" s="2">
        <v>26275.24</v>
      </c>
      <c r="E1289" s="2">
        <v>14835494.43</v>
      </c>
      <c r="F1289" s="2">
        <v>14779384.869999999</v>
      </c>
      <c r="G1289">
        <v>0</v>
      </c>
    </row>
    <row r="1290" spans="1:7" x14ac:dyDescent="0.25">
      <c r="A1290" s="1">
        <v>45047</v>
      </c>
      <c r="B1290" t="s">
        <v>33</v>
      </c>
      <c r="C1290" t="s">
        <v>35</v>
      </c>
      <c r="D1290">
        <v>0</v>
      </c>
      <c r="E1290">
        <v>0</v>
      </c>
      <c r="F1290">
        <v>0</v>
      </c>
      <c r="G1290" s="2">
        <v>8108.29</v>
      </c>
    </row>
    <row r="1291" spans="1:7" x14ac:dyDescent="0.25">
      <c r="A1291" s="1">
        <v>45047</v>
      </c>
      <c r="B1291" t="s">
        <v>33</v>
      </c>
      <c r="C1291" t="s">
        <v>67</v>
      </c>
      <c r="D1291" s="2">
        <v>20865892.260000002</v>
      </c>
      <c r="E1291" s="2">
        <v>3987682.95</v>
      </c>
      <c r="F1291" s="2">
        <v>3914033.2</v>
      </c>
      <c r="G1291" s="2">
        <v>352150.55</v>
      </c>
    </row>
    <row r="1292" spans="1:7" x14ac:dyDescent="0.25">
      <c r="A1292" s="1">
        <v>45047</v>
      </c>
      <c r="B1292" t="s">
        <v>7</v>
      </c>
      <c r="C1292" t="s">
        <v>16</v>
      </c>
      <c r="D1292" s="2">
        <v>9828174.8800000008</v>
      </c>
      <c r="E1292" s="2">
        <v>163645.16</v>
      </c>
      <c r="F1292" s="2">
        <v>169100.27</v>
      </c>
      <c r="G1292" s="2">
        <v>91358.29</v>
      </c>
    </row>
    <row r="1293" spans="1:7" x14ac:dyDescent="0.25">
      <c r="A1293" s="1">
        <v>45047</v>
      </c>
      <c r="B1293" t="s">
        <v>13</v>
      </c>
      <c r="C1293" t="s">
        <v>78</v>
      </c>
      <c r="D1293">
        <v>0</v>
      </c>
      <c r="E1293">
        <v>0</v>
      </c>
      <c r="F1293">
        <v>0</v>
      </c>
      <c r="G1293" s="2">
        <v>12784.42</v>
      </c>
    </row>
    <row r="1294" spans="1:7" x14ac:dyDescent="0.25">
      <c r="A1294" s="1">
        <v>45047</v>
      </c>
      <c r="B1294" t="s">
        <v>69</v>
      </c>
      <c r="C1294" t="s">
        <v>55</v>
      </c>
      <c r="D1294" s="2">
        <v>102491.27</v>
      </c>
      <c r="E1294" s="2">
        <v>56561.3</v>
      </c>
      <c r="F1294" s="2">
        <v>44017.68</v>
      </c>
      <c r="G1294">
        <v>0</v>
      </c>
    </row>
    <row r="1295" spans="1:7" x14ac:dyDescent="0.25">
      <c r="A1295" s="1">
        <v>45047</v>
      </c>
      <c r="B1295" t="s">
        <v>26</v>
      </c>
      <c r="C1295" t="s">
        <v>24</v>
      </c>
      <c r="D1295" s="2">
        <v>128449.07</v>
      </c>
      <c r="E1295" s="2">
        <v>35619.839999999997</v>
      </c>
      <c r="F1295" s="2">
        <v>28156.67</v>
      </c>
      <c r="G1295">
        <v>0</v>
      </c>
    </row>
    <row r="1296" spans="1:7" x14ac:dyDescent="0.25">
      <c r="A1296" s="1">
        <v>45047</v>
      </c>
      <c r="B1296" t="s">
        <v>15</v>
      </c>
      <c r="C1296" t="s">
        <v>25</v>
      </c>
      <c r="D1296" s="2">
        <v>144765.01</v>
      </c>
      <c r="E1296" s="2">
        <v>84391.74</v>
      </c>
      <c r="F1296" s="2">
        <v>84391.74</v>
      </c>
      <c r="G1296" s="2">
        <v>203305.73</v>
      </c>
    </row>
    <row r="1297" spans="1:7" x14ac:dyDescent="0.25">
      <c r="A1297" s="1">
        <v>45047</v>
      </c>
      <c r="B1297" t="s">
        <v>91</v>
      </c>
      <c r="C1297" t="s">
        <v>12</v>
      </c>
      <c r="D1297">
        <v>0</v>
      </c>
      <c r="E1297">
        <v>0</v>
      </c>
      <c r="F1297">
        <v>0</v>
      </c>
      <c r="G1297" s="2">
        <v>36506.36</v>
      </c>
    </row>
    <row r="1298" spans="1:7" x14ac:dyDescent="0.25">
      <c r="A1298" s="1">
        <v>45047</v>
      </c>
      <c r="B1298" t="s">
        <v>11</v>
      </c>
      <c r="C1298" t="s">
        <v>55</v>
      </c>
      <c r="D1298" s="2">
        <v>152308.18</v>
      </c>
      <c r="E1298" s="2">
        <v>751558.55</v>
      </c>
      <c r="F1298" s="2">
        <v>728745.33</v>
      </c>
      <c r="G1298" s="2">
        <v>243778.32</v>
      </c>
    </row>
    <row r="1299" spans="1:7" x14ac:dyDescent="0.25">
      <c r="A1299" s="1">
        <v>45047</v>
      </c>
      <c r="B1299" t="s">
        <v>41</v>
      </c>
      <c r="C1299" t="s">
        <v>57</v>
      </c>
      <c r="D1299" s="2">
        <v>387896.6</v>
      </c>
      <c r="E1299" s="2">
        <v>12818.01</v>
      </c>
      <c r="F1299" s="2">
        <v>17195.740000000002</v>
      </c>
      <c r="G1299" s="2">
        <v>16084.83</v>
      </c>
    </row>
    <row r="1300" spans="1:7" x14ac:dyDescent="0.25">
      <c r="A1300" s="1">
        <v>45047</v>
      </c>
      <c r="B1300" t="s">
        <v>13</v>
      </c>
      <c r="C1300" t="s">
        <v>12</v>
      </c>
      <c r="D1300" s="2">
        <v>2960800</v>
      </c>
      <c r="E1300" s="2">
        <v>403461.64</v>
      </c>
      <c r="F1300" s="2">
        <v>403461.64</v>
      </c>
      <c r="G1300">
        <v>0</v>
      </c>
    </row>
    <row r="1301" spans="1:7" x14ac:dyDescent="0.25">
      <c r="A1301" s="1">
        <v>45047</v>
      </c>
      <c r="B1301" t="s">
        <v>28</v>
      </c>
      <c r="C1301" t="s">
        <v>29</v>
      </c>
      <c r="D1301" s="2">
        <v>129322588.09999999</v>
      </c>
      <c r="E1301" s="2">
        <v>129138916.20999999</v>
      </c>
      <c r="F1301" s="2">
        <v>128891623.66</v>
      </c>
      <c r="G1301">
        <v>0</v>
      </c>
    </row>
    <row r="1302" spans="1:7" x14ac:dyDescent="0.25">
      <c r="A1302" s="1">
        <v>45047</v>
      </c>
      <c r="B1302" t="s">
        <v>47</v>
      </c>
      <c r="C1302" t="s">
        <v>78</v>
      </c>
      <c r="D1302">
        <v>0</v>
      </c>
      <c r="E1302">
        <v>0</v>
      </c>
      <c r="F1302">
        <v>0</v>
      </c>
      <c r="G1302" s="2">
        <v>17792.32</v>
      </c>
    </row>
    <row r="1303" spans="1:7" x14ac:dyDescent="0.25">
      <c r="A1303" s="1">
        <v>45047</v>
      </c>
      <c r="B1303" t="s">
        <v>27</v>
      </c>
      <c r="C1303" t="s">
        <v>57</v>
      </c>
      <c r="D1303" s="2">
        <v>215718.08</v>
      </c>
      <c r="E1303" s="2">
        <v>313941.96999999997</v>
      </c>
      <c r="F1303" s="2">
        <v>236610.86</v>
      </c>
      <c r="G1303">
        <v>0</v>
      </c>
    </row>
    <row r="1304" spans="1:7" x14ac:dyDescent="0.25">
      <c r="A1304" s="1">
        <v>45047</v>
      </c>
      <c r="B1304" t="s">
        <v>43</v>
      </c>
      <c r="C1304" t="s">
        <v>61</v>
      </c>
      <c r="D1304" s="2">
        <v>199628.36</v>
      </c>
      <c r="E1304" s="2">
        <v>1725057.19</v>
      </c>
      <c r="F1304" s="2">
        <v>1724868.91</v>
      </c>
      <c r="G1304">
        <v>0</v>
      </c>
    </row>
    <row r="1305" spans="1:7" x14ac:dyDescent="0.25">
      <c r="A1305" s="1">
        <v>45047</v>
      </c>
      <c r="B1305" t="s">
        <v>37</v>
      </c>
      <c r="C1305" t="s">
        <v>50</v>
      </c>
      <c r="D1305">
        <v>0</v>
      </c>
      <c r="E1305" s="2">
        <v>398457.55</v>
      </c>
      <c r="F1305" s="2">
        <v>398457.55</v>
      </c>
      <c r="G1305">
        <v>0</v>
      </c>
    </row>
    <row r="1306" spans="1:7" x14ac:dyDescent="0.25">
      <c r="A1306" s="1">
        <v>45047</v>
      </c>
      <c r="B1306" t="s">
        <v>28</v>
      </c>
      <c r="C1306" t="s">
        <v>99</v>
      </c>
      <c r="D1306" s="2">
        <v>16500000</v>
      </c>
      <c r="E1306" s="2">
        <v>6267145.0899999999</v>
      </c>
      <c r="F1306" s="2">
        <v>6280606.7699999996</v>
      </c>
      <c r="G1306">
        <v>0</v>
      </c>
    </row>
    <row r="1307" spans="1:7" x14ac:dyDescent="0.25">
      <c r="A1307" s="1">
        <v>45047</v>
      </c>
      <c r="B1307" t="s">
        <v>31</v>
      </c>
      <c r="C1307" t="s">
        <v>82</v>
      </c>
      <c r="D1307" s="2">
        <v>165750000000</v>
      </c>
      <c r="E1307" s="2">
        <v>163357964020.14999</v>
      </c>
      <c r="F1307" s="2">
        <v>163357964020.14999</v>
      </c>
      <c r="G1307">
        <v>0</v>
      </c>
    </row>
    <row r="1308" spans="1:7" x14ac:dyDescent="0.25">
      <c r="A1308" s="1">
        <v>45047</v>
      </c>
      <c r="B1308" t="s">
        <v>33</v>
      </c>
      <c r="C1308" t="s">
        <v>24</v>
      </c>
      <c r="D1308" s="2">
        <v>742000</v>
      </c>
      <c r="E1308" s="2">
        <v>65119.05</v>
      </c>
      <c r="F1308" s="2">
        <v>35159.42</v>
      </c>
      <c r="G1308">
        <v>0</v>
      </c>
    </row>
    <row r="1309" spans="1:7" x14ac:dyDescent="0.25">
      <c r="A1309" s="1">
        <v>45047</v>
      </c>
      <c r="B1309" t="s">
        <v>23</v>
      </c>
      <c r="C1309" t="s">
        <v>64</v>
      </c>
      <c r="D1309" s="2">
        <v>4115870.06</v>
      </c>
      <c r="E1309" s="2">
        <v>251444.89</v>
      </c>
      <c r="F1309" s="2">
        <v>244864.59</v>
      </c>
      <c r="G1309" s="2">
        <v>373415.82</v>
      </c>
    </row>
    <row r="1310" spans="1:7" x14ac:dyDescent="0.25">
      <c r="A1310" s="1">
        <v>45047</v>
      </c>
      <c r="B1310" t="s">
        <v>43</v>
      </c>
      <c r="C1310" t="s">
        <v>78</v>
      </c>
      <c r="D1310">
        <v>0</v>
      </c>
      <c r="E1310">
        <v>0</v>
      </c>
      <c r="F1310">
        <v>0</v>
      </c>
      <c r="G1310" s="2">
        <v>3380.8</v>
      </c>
    </row>
    <row r="1311" spans="1:7" x14ac:dyDescent="0.25">
      <c r="A1311" s="1">
        <v>45047</v>
      </c>
      <c r="B1311" t="s">
        <v>36</v>
      </c>
      <c r="C1311" t="s">
        <v>57</v>
      </c>
      <c r="D1311" s="2">
        <v>34746267.479999997</v>
      </c>
      <c r="E1311" s="2">
        <v>4684145.4400000004</v>
      </c>
      <c r="F1311" s="2">
        <v>4663582.96</v>
      </c>
      <c r="G1311">
        <v>0</v>
      </c>
    </row>
    <row r="1312" spans="1:7" x14ac:dyDescent="0.25">
      <c r="A1312" s="1">
        <v>45047</v>
      </c>
      <c r="B1312" t="s">
        <v>31</v>
      </c>
      <c r="C1312" t="s">
        <v>53</v>
      </c>
      <c r="D1312" s="2">
        <v>1322078832.8199999</v>
      </c>
      <c r="E1312" s="2">
        <v>1322078832.8199999</v>
      </c>
      <c r="F1312" s="2">
        <v>1322078832.8199999</v>
      </c>
      <c r="G1312">
        <v>0</v>
      </c>
    </row>
    <row r="1313" spans="1:7" x14ac:dyDescent="0.25">
      <c r="A1313" s="1">
        <v>45047</v>
      </c>
      <c r="B1313" t="s">
        <v>41</v>
      </c>
      <c r="C1313" t="s">
        <v>42</v>
      </c>
      <c r="D1313">
        <v>0</v>
      </c>
      <c r="E1313">
        <v>0</v>
      </c>
      <c r="F1313">
        <v>0</v>
      </c>
      <c r="G1313" s="2">
        <v>15800</v>
      </c>
    </row>
    <row r="1314" spans="1:7" x14ac:dyDescent="0.25">
      <c r="A1314" s="1">
        <v>45047</v>
      </c>
      <c r="B1314" t="s">
        <v>65</v>
      </c>
      <c r="C1314" t="s">
        <v>14</v>
      </c>
      <c r="D1314" s="2">
        <v>83234242.909999996</v>
      </c>
      <c r="E1314" s="2">
        <v>12955662.609999999</v>
      </c>
      <c r="F1314" s="2">
        <v>1224310.1200000001</v>
      </c>
      <c r="G1314" s="2">
        <v>32198519.649999999</v>
      </c>
    </row>
    <row r="1315" spans="1:7" x14ac:dyDescent="0.25">
      <c r="A1315" s="1">
        <v>45047</v>
      </c>
      <c r="B1315" t="s">
        <v>28</v>
      </c>
      <c r="C1315" t="s">
        <v>75</v>
      </c>
      <c r="D1315" s="2">
        <v>190980.89</v>
      </c>
      <c r="E1315" s="2">
        <v>221377.63</v>
      </c>
      <c r="F1315" s="2">
        <v>26263.81</v>
      </c>
      <c r="G1315">
        <v>0</v>
      </c>
    </row>
    <row r="1316" spans="1:7" x14ac:dyDescent="0.25">
      <c r="A1316" s="1">
        <v>45047</v>
      </c>
      <c r="B1316" t="s">
        <v>65</v>
      </c>
      <c r="C1316" t="s">
        <v>73</v>
      </c>
      <c r="D1316" s="2">
        <v>1713253103.3900001</v>
      </c>
      <c r="E1316" s="2">
        <v>1706245018.9100001</v>
      </c>
      <c r="F1316" s="2">
        <v>1706245018.9100001</v>
      </c>
      <c r="G1316" s="2">
        <v>2393.63</v>
      </c>
    </row>
    <row r="1317" spans="1:7" x14ac:dyDescent="0.25">
      <c r="A1317" s="1">
        <v>45047</v>
      </c>
      <c r="B1317" t="s">
        <v>83</v>
      </c>
      <c r="C1317" t="s">
        <v>131</v>
      </c>
      <c r="D1317">
        <v>0</v>
      </c>
      <c r="E1317">
        <v>0</v>
      </c>
      <c r="F1317">
        <v>0</v>
      </c>
      <c r="G1317" s="2">
        <v>4956.05</v>
      </c>
    </row>
    <row r="1318" spans="1:7" x14ac:dyDescent="0.25">
      <c r="A1318" s="1">
        <v>45047</v>
      </c>
      <c r="B1318" t="s">
        <v>7</v>
      </c>
      <c r="C1318" t="s">
        <v>81</v>
      </c>
      <c r="D1318">
        <v>0</v>
      </c>
      <c r="E1318" s="2">
        <v>423573520.81</v>
      </c>
      <c r="F1318" s="2">
        <v>423582949.70999998</v>
      </c>
      <c r="G1318" s="2">
        <v>420135.61</v>
      </c>
    </row>
    <row r="1319" spans="1:7" x14ac:dyDescent="0.25">
      <c r="A1319" s="1">
        <v>45047</v>
      </c>
      <c r="B1319" t="s">
        <v>83</v>
      </c>
      <c r="C1319" t="s">
        <v>42</v>
      </c>
      <c r="D1319" s="2">
        <v>308091.53999999998</v>
      </c>
      <c r="E1319" s="2">
        <v>229527.46</v>
      </c>
      <c r="F1319" s="2">
        <v>225344.54</v>
      </c>
      <c r="G1319">
        <v>0</v>
      </c>
    </row>
    <row r="1320" spans="1:7" x14ac:dyDescent="0.25">
      <c r="A1320" s="1">
        <v>45047</v>
      </c>
      <c r="B1320" t="s">
        <v>15</v>
      </c>
      <c r="C1320" t="s">
        <v>12</v>
      </c>
      <c r="D1320" s="2">
        <v>704521.6</v>
      </c>
      <c r="E1320" s="2">
        <v>385339.57</v>
      </c>
      <c r="F1320" s="2">
        <v>390344.31</v>
      </c>
      <c r="G1320">
        <v>0</v>
      </c>
    </row>
    <row r="1321" spans="1:7" x14ac:dyDescent="0.25">
      <c r="A1321" s="1">
        <v>45047</v>
      </c>
      <c r="B1321" t="s">
        <v>69</v>
      </c>
      <c r="C1321" t="s">
        <v>84</v>
      </c>
      <c r="D1321">
        <v>0</v>
      </c>
      <c r="E1321">
        <v>0</v>
      </c>
      <c r="F1321">
        <v>0</v>
      </c>
      <c r="G1321" s="2">
        <v>204578.76</v>
      </c>
    </row>
    <row r="1322" spans="1:7" x14ac:dyDescent="0.25">
      <c r="A1322" s="1">
        <v>45047</v>
      </c>
      <c r="B1322" t="s">
        <v>91</v>
      </c>
      <c r="C1322" t="s">
        <v>51</v>
      </c>
      <c r="D1322" s="2">
        <v>85979.65</v>
      </c>
      <c r="E1322" s="2">
        <v>49296.78</v>
      </c>
      <c r="F1322" s="2">
        <v>49296.78</v>
      </c>
      <c r="G1322">
        <v>0</v>
      </c>
    </row>
    <row r="1323" spans="1:7" x14ac:dyDescent="0.25">
      <c r="A1323" s="1">
        <v>45047</v>
      </c>
      <c r="B1323" t="s">
        <v>47</v>
      </c>
      <c r="C1323" t="s">
        <v>16</v>
      </c>
      <c r="D1323" s="2">
        <v>35628797.640000001</v>
      </c>
      <c r="E1323">
        <v>0</v>
      </c>
      <c r="F1323">
        <v>0</v>
      </c>
      <c r="G1323" s="2">
        <v>17390774.140000001</v>
      </c>
    </row>
    <row r="1324" spans="1:7" x14ac:dyDescent="0.25">
      <c r="A1324" s="1">
        <v>45047</v>
      </c>
      <c r="B1324" t="s">
        <v>43</v>
      </c>
      <c r="C1324" t="s">
        <v>25</v>
      </c>
      <c r="D1324" s="2">
        <v>190058.38</v>
      </c>
      <c r="E1324" s="2">
        <v>614019.34</v>
      </c>
      <c r="F1324" s="2">
        <v>554864.12</v>
      </c>
      <c r="G1324" s="2">
        <v>21868</v>
      </c>
    </row>
    <row r="1325" spans="1:7" x14ac:dyDescent="0.25">
      <c r="A1325" s="1">
        <v>45047</v>
      </c>
      <c r="B1325" t="s">
        <v>13</v>
      </c>
      <c r="C1325" t="s">
        <v>22</v>
      </c>
      <c r="D1325" s="2">
        <v>50000</v>
      </c>
      <c r="E1325" s="2">
        <v>15142693.73</v>
      </c>
      <c r="F1325" s="2">
        <v>15138342.289999999</v>
      </c>
      <c r="G1325">
        <v>0</v>
      </c>
    </row>
    <row r="1326" spans="1:7" x14ac:dyDescent="0.25">
      <c r="A1326" s="1">
        <v>45047</v>
      </c>
      <c r="B1326" t="s">
        <v>17</v>
      </c>
      <c r="C1326" t="s">
        <v>48</v>
      </c>
      <c r="D1326">
        <v>0</v>
      </c>
      <c r="E1326">
        <v>0</v>
      </c>
      <c r="F1326">
        <v>0</v>
      </c>
      <c r="G1326" s="2">
        <v>2893960.13</v>
      </c>
    </row>
    <row r="1327" spans="1:7" x14ac:dyDescent="0.25">
      <c r="A1327" s="1">
        <v>45047</v>
      </c>
      <c r="B1327" t="s">
        <v>13</v>
      </c>
      <c r="C1327" t="s">
        <v>71</v>
      </c>
      <c r="D1327" s="2">
        <v>424283.56</v>
      </c>
      <c r="E1327" s="2">
        <v>319563.81</v>
      </c>
      <c r="F1327" s="2">
        <v>319563.81</v>
      </c>
      <c r="G1327" s="2">
        <v>275526.78999999998</v>
      </c>
    </row>
    <row r="1328" spans="1:7" x14ac:dyDescent="0.25">
      <c r="A1328" s="1">
        <v>45047</v>
      </c>
      <c r="B1328" t="s">
        <v>26</v>
      </c>
      <c r="C1328" t="s">
        <v>48</v>
      </c>
      <c r="D1328" s="2">
        <v>1049876.55</v>
      </c>
      <c r="E1328">
        <v>0</v>
      </c>
      <c r="F1328">
        <v>0</v>
      </c>
      <c r="G1328" s="2">
        <v>950000</v>
      </c>
    </row>
    <row r="1329" spans="1:7" x14ac:dyDescent="0.25">
      <c r="A1329" s="1">
        <v>45047</v>
      </c>
      <c r="B1329" t="s">
        <v>47</v>
      </c>
      <c r="C1329" t="s">
        <v>24</v>
      </c>
      <c r="D1329" s="2">
        <v>16574.2</v>
      </c>
      <c r="E1329" s="2">
        <v>1109214.24</v>
      </c>
      <c r="F1329" s="2">
        <v>1093427.8999999999</v>
      </c>
      <c r="G1329">
        <v>0</v>
      </c>
    </row>
    <row r="1330" spans="1:7" x14ac:dyDescent="0.25">
      <c r="A1330" s="1">
        <v>45047</v>
      </c>
      <c r="B1330" t="s">
        <v>7</v>
      </c>
      <c r="C1330" t="s">
        <v>8</v>
      </c>
      <c r="D1330" s="2">
        <v>1500000</v>
      </c>
      <c r="E1330" s="2">
        <v>1333200</v>
      </c>
      <c r="F1330" s="2">
        <v>1333200</v>
      </c>
      <c r="G1330" s="2">
        <v>169532.22</v>
      </c>
    </row>
    <row r="1331" spans="1:7" x14ac:dyDescent="0.25">
      <c r="A1331" s="1">
        <v>45047</v>
      </c>
      <c r="B1331" t="s">
        <v>43</v>
      </c>
      <c r="C1331" t="s">
        <v>34</v>
      </c>
      <c r="D1331" s="2">
        <v>-27941.69</v>
      </c>
      <c r="E1331" s="2">
        <v>37602.03</v>
      </c>
      <c r="F1331">
        <v>0</v>
      </c>
      <c r="G1331">
        <v>0</v>
      </c>
    </row>
    <row r="1332" spans="1:7" x14ac:dyDescent="0.25">
      <c r="A1332" s="1">
        <v>45047</v>
      </c>
      <c r="B1332" t="s">
        <v>17</v>
      </c>
      <c r="C1332" t="s">
        <v>78</v>
      </c>
      <c r="D1332">
        <v>0</v>
      </c>
      <c r="E1332">
        <v>0</v>
      </c>
      <c r="F1332">
        <v>0</v>
      </c>
      <c r="G1332" s="2">
        <v>8513885.2200000007</v>
      </c>
    </row>
    <row r="1333" spans="1:7" x14ac:dyDescent="0.25">
      <c r="A1333" s="1">
        <v>45047</v>
      </c>
      <c r="B1333" t="s">
        <v>43</v>
      </c>
      <c r="C1333" t="s">
        <v>22</v>
      </c>
      <c r="D1333" s="2">
        <v>3006517.61</v>
      </c>
      <c r="E1333" s="2">
        <v>8820080.8699999992</v>
      </c>
      <c r="F1333" s="2">
        <v>8813935.0600000005</v>
      </c>
      <c r="G1333">
        <v>0</v>
      </c>
    </row>
    <row r="1334" spans="1:7" x14ac:dyDescent="0.25">
      <c r="A1334" s="1">
        <v>45047</v>
      </c>
      <c r="B1334" t="s">
        <v>28</v>
      </c>
      <c r="C1334" t="s">
        <v>90</v>
      </c>
      <c r="D1334" s="2">
        <v>548900</v>
      </c>
      <c r="E1334" s="2">
        <v>575469.84</v>
      </c>
      <c r="F1334" s="2">
        <v>625776.92000000004</v>
      </c>
      <c r="G1334">
        <v>0</v>
      </c>
    </row>
    <row r="1335" spans="1:7" x14ac:dyDescent="0.25">
      <c r="A1335" s="1">
        <v>45047</v>
      </c>
      <c r="B1335" t="s">
        <v>54</v>
      </c>
      <c r="C1335" t="s">
        <v>16</v>
      </c>
      <c r="D1335" s="2">
        <v>831051.73</v>
      </c>
      <c r="E1335" s="2">
        <v>70832.679999999993</v>
      </c>
      <c r="F1335" s="2">
        <v>75885.679999999993</v>
      </c>
      <c r="G1335" s="2">
        <v>56862.720000000001</v>
      </c>
    </row>
    <row r="1336" spans="1:7" x14ac:dyDescent="0.25">
      <c r="A1336" s="1">
        <v>45047</v>
      </c>
      <c r="B1336" t="s">
        <v>17</v>
      </c>
      <c r="C1336" t="s">
        <v>59</v>
      </c>
      <c r="D1336" s="2">
        <v>-68894.720000000001</v>
      </c>
      <c r="E1336" s="2">
        <v>-13754.7</v>
      </c>
      <c r="F1336" s="2">
        <v>-13754.7</v>
      </c>
      <c r="G1336" s="2">
        <v>1456500</v>
      </c>
    </row>
    <row r="1337" spans="1:7" x14ac:dyDescent="0.25">
      <c r="A1337" s="1">
        <v>45047</v>
      </c>
      <c r="B1337" t="s">
        <v>54</v>
      </c>
      <c r="C1337" t="s">
        <v>102</v>
      </c>
      <c r="D1337" s="2">
        <v>5004087.91</v>
      </c>
      <c r="E1337" s="2">
        <v>3665650.78</v>
      </c>
      <c r="F1337" s="2">
        <v>3651904.48</v>
      </c>
      <c r="G1337" s="2">
        <v>790534.35</v>
      </c>
    </row>
    <row r="1338" spans="1:7" x14ac:dyDescent="0.25">
      <c r="A1338" s="1">
        <v>45047</v>
      </c>
      <c r="B1338" t="s">
        <v>36</v>
      </c>
      <c r="C1338" t="s">
        <v>72</v>
      </c>
      <c r="D1338">
        <v>0</v>
      </c>
      <c r="E1338">
        <v>0</v>
      </c>
      <c r="F1338">
        <v>0</v>
      </c>
      <c r="G1338" s="2">
        <v>7893</v>
      </c>
    </row>
    <row r="1339" spans="1:7" x14ac:dyDescent="0.25">
      <c r="A1339" s="1">
        <v>45047</v>
      </c>
      <c r="B1339" t="s">
        <v>69</v>
      </c>
      <c r="C1339" t="s">
        <v>72</v>
      </c>
      <c r="D1339" s="2">
        <v>3418074.69</v>
      </c>
      <c r="E1339" s="2">
        <v>5198106.87</v>
      </c>
      <c r="F1339" s="2">
        <v>5205260.37</v>
      </c>
      <c r="G1339">
        <v>0</v>
      </c>
    </row>
    <row r="1340" spans="1:7" x14ac:dyDescent="0.25">
      <c r="A1340" s="1">
        <v>45047</v>
      </c>
      <c r="B1340" t="s">
        <v>69</v>
      </c>
      <c r="C1340" t="s">
        <v>77</v>
      </c>
      <c r="D1340" s="2">
        <v>120000</v>
      </c>
      <c r="E1340" s="2">
        <v>81561.77</v>
      </c>
      <c r="F1340" s="2">
        <v>86625.52</v>
      </c>
      <c r="G1340" s="2">
        <v>242431</v>
      </c>
    </row>
    <row r="1341" spans="1:7" x14ac:dyDescent="0.25">
      <c r="A1341" s="1">
        <v>45047</v>
      </c>
      <c r="B1341" t="s">
        <v>23</v>
      </c>
      <c r="C1341" t="s">
        <v>79</v>
      </c>
      <c r="D1341" s="2">
        <v>39261.040000000001</v>
      </c>
      <c r="E1341" s="2">
        <v>36156.89</v>
      </c>
      <c r="F1341" s="2">
        <v>33405.01</v>
      </c>
      <c r="G1341" s="2">
        <v>474375</v>
      </c>
    </row>
    <row r="1342" spans="1:7" x14ac:dyDescent="0.25">
      <c r="A1342" s="1">
        <v>45047</v>
      </c>
      <c r="B1342" t="s">
        <v>21</v>
      </c>
      <c r="C1342" t="s">
        <v>57</v>
      </c>
      <c r="D1342" s="2">
        <v>-1354786.81</v>
      </c>
      <c r="E1342" s="2">
        <v>289206.95</v>
      </c>
      <c r="F1342" s="2">
        <v>306981.46000000002</v>
      </c>
      <c r="G1342" s="2">
        <v>503725.58</v>
      </c>
    </row>
    <row r="1343" spans="1:7" x14ac:dyDescent="0.25">
      <c r="A1343" s="1">
        <v>45047</v>
      </c>
      <c r="B1343" t="s">
        <v>11</v>
      </c>
      <c r="C1343" t="s">
        <v>71</v>
      </c>
      <c r="D1343" s="2">
        <v>1582658.61</v>
      </c>
      <c r="E1343" s="2">
        <v>1663389.16</v>
      </c>
      <c r="F1343" s="2">
        <v>1676977.04</v>
      </c>
      <c r="G1343">
        <v>-279.72000000000003</v>
      </c>
    </row>
    <row r="1344" spans="1:7" x14ac:dyDescent="0.25">
      <c r="A1344" s="1">
        <v>45047</v>
      </c>
      <c r="B1344" t="s">
        <v>23</v>
      </c>
      <c r="C1344" t="s">
        <v>55</v>
      </c>
      <c r="D1344" s="2">
        <v>11687285.27</v>
      </c>
      <c r="E1344" s="2">
        <v>4807312.38</v>
      </c>
      <c r="F1344" s="2">
        <v>3667937.02</v>
      </c>
      <c r="G1344" s="2">
        <v>863510.66</v>
      </c>
    </row>
    <row r="1345" spans="1:7" x14ac:dyDescent="0.25">
      <c r="A1345" s="1">
        <v>45047</v>
      </c>
      <c r="B1345" t="s">
        <v>9</v>
      </c>
      <c r="C1345" t="s">
        <v>24</v>
      </c>
      <c r="D1345" s="2">
        <v>96448.05</v>
      </c>
      <c r="E1345">
        <v>0</v>
      </c>
      <c r="F1345">
        <v>0</v>
      </c>
      <c r="G1345" s="2">
        <v>94588.23</v>
      </c>
    </row>
    <row r="1346" spans="1:7" x14ac:dyDescent="0.25">
      <c r="A1346" s="1">
        <v>45047</v>
      </c>
      <c r="B1346" t="s">
        <v>69</v>
      </c>
      <c r="C1346" t="s">
        <v>34</v>
      </c>
      <c r="D1346" s="2">
        <v>54236.9</v>
      </c>
      <c r="E1346" s="2">
        <v>69726.83</v>
      </c>
      <c r="F1346" s="2">
        <v>129725.81</v>
      </c>
      <c r="G1346" s="2">
        <v>57818.83</v>
      </c>
    </row>
    <row r="1347" spans="1:7" x14ac:dyDescent="0.25">
      <c r="A1347" s="1">
        <v>45047</v>
      </c>
      <c r="B1347" t="s">
        <v>54</v>
      </c>
      <c r="C1347" t="s">
        <v>89</v>
      </c>
      <c r="D1347" s="2">
        <v>114983</v>
      </c>
      <c r="E1347">
        <v>0</v>
      </c>
      <c r="F1347">
        <v>0</v>
      </c>
      <c r="G1347" s="2">
        <v>160790.75</v>
      </c>
    </row>
    <row r="1348" spans="1:7" x14ac:dyDescent="0.25">
      <c r="A1348" s="1">
        <v>45047</v>
      </c>
      <c r="B1348" t="s">
        <v>62</v>
      </c>
      <c r="C1348" t="s">
        <v>12</v>
      </c>
      <c r="D1348" s="2">
        <v>29488.87</v>
      </c>
      <c r="E1348" s="2">
        <v>40971.1</v>
      </c>
      <c r="F1348" s="2">
        <v>41513.49</v>
      </c>
      <c r="G1348" s="2">
        <v>2090</v>
      </c>
    </row>
    <row r="1349" spans="1:7" x14ac:dyDescent="0.25">
      <c r="A1349" s="1">
        <v>45047</v>
      </c>
      <c r="B1349" t="s">
        <v>52</v>
      </c>
      <c r="C1349" t="s">
        <v>78</v>
      </c>
      <c r="D1349">
        <v>0</v>
      </c>
      <c r="E1349">
        <v>0</v>
      </c>
      <c r="F1349">
        <v>0</v>
      </c>
      <c r="G1349" s="2">
        <v>1043697.03</v>
      </c>
    </row>
    <row r="1350" spans="1:7" x14ac:dyDescent="0.25">
      <c r="A1350" s="1">
        <v>45047</v>
      </c>
      <c r="B1350" t="s">
        <v>31</v>
      </c>
      <c r="C1350" t="s">
        <v>92</v>
      </c>
      <c r="D1350" s="2">
        <v>117043413509.00999</v>
      </c>
      <c r="E1350" s="2">
        <v>115854627274.44</v>
      </c>
      <c r="F1350" s="2">
        <v>115854627274.44</v>
      </c>
      <c r="G1350" s="2">
        <v>83371.820000000007</v>
      </c>
    </row>
    <row r="1351" spans="1:7" x14ac:dyDescent="0.25">
      <c r="A1351" s="1">
        <v>45047</v>
      </c>
      <c r="B1351" t="s">
        <v>69</v>
      </c>
      <c r="C1351" t="s">
        <v>12</v>
      </c>
      <c r="D1351" s="2">
        <v>129012.1</v>
      </c>
      <c r="E1351" s="2">
        <v>64162.58</v>
      </c>
      <c r="F1351" s="2">
        <v>89203.43</v>
      </c>
      <c r="G1351" s="2">
        <v>500000</v>
      </c>
    </row>
    <row r="1352" spans="1:7" x14ac:dyDescent="0.25">
      <c r="A1352" s="1">
        <v>45047</v>
      </c>
      <c r="B1352" t="s">
        <v>41</v>
      </c>
      <c r="C1352" t="s">
        <v>85</v>
      </c>
      <c r="D1352" s="2">
        <v>119292.21</v>
      </c>
      <c r="E1352" s="2">
        <v>16323.51</v>
      </c>
      <c r="F1352" s="2">
        <v>17673.509999999998</v>
      </c>
      <c r="G1352" s="2">
        <v>114025.21</v>
      </c>
    </row>
    <row r="1353" spans="1:7" x14ac:dyDescent="0.25">
      <c r="A1353" s="1">
        <v>45047</v>
      </c>
      <c r="B1353" t="s">
        <v>28</v>
      </c>
      <c r="C1353" t="s">
        <v>12</v>
      </c>
      <c r="D1353" s="2">
        <v>-4996.99</v>
      </c>
      <c r="E1353" s="2">
        <v>58833.56</v>
      </c>
      <c r="F1353" s="2">
        <v>58713.02</v>
      </c>
      <c r="G1353">
        <v>0</v>
      </c>
    </row>
    <row r="1354" spans="1:7" x14ac:dyDescent="0.25">
      <c r="A1354" s="1">
        <v>45047</v>
      </c>
      <c r="B1354" t="s">
        <v>21</v>
      </c>
      <c r="C1354" t="s">
        <v>80</v>
      </c>
      <c r="D1354" s="2">
        <v>55734811</v>
      </c>
      <c r="E1354" s="2">
        <v>153918349.56</v>
      </c>
      <c r="F1354" s="2">
        <v>153911184.38999999</v>
      </c>
      <c r="G1354" s="2">
        <v>27961863.690000001</v>
      </c>
    </row>
    <row r="1355" spans="1:7" x14ac:dyDescent="0.25">
      <c r="A1355" s="1">
        <v>45047</v>
      </c>
      <c r="B1355" t="s">
        <v>54</v>
      </c>
      <c r="C1355" t="s">
        <v>76</v>
      </c>
      <c r="D1355" s="2">
        <v>4238035.26</v>
      </c>
      <c r="E1355" s="2">
        <v>14149.79</v>
      </c>
      <c r="F1355" s="2">
        <v>3202.95</v>
      </c>
      <c r="G1355" s="2">
        <v>1967301.05</v>
      </c>
    </row>
    <row r="1356" spans="1:7" x14ac:dyDescent="0.25">
      <c r="A1356" s="1">
        <v>45047</v>
      </c>
      <c r="B1356" t="s">
        <v>62</v>
      </c>
      <c r="C1356" t="s">
        <v>75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 s="1">
        <v>45047</v>
      </c>
      <c r="B1357" t="s">
        <v>9</v>
      </c>
      <c r="C1357" t="s">
        <v>78</v>
      </c>
      <c r="D1357">
        <v>0</v>
      </c>
      <c r="E1357">
        <v>0</v>
      </c>
      <c r="F1357">
        <v>0</v>
      </c>
      <c r="G1357">
        <v>150</v>
      </c>
    </row>
    <row r="1358" spans="1:7" x14ac:dyDescent="0.25">
      <c r="A1358" s="1">
        <v>45047</v>
      </c>
      <c r="B1358" t="s">
        <v>37</v>
      </c>
      <c r="C1358" t="s">
        <v>22</v>
      </c>
      <c r="D1358" s="2">
        <v>6200000</v>
      </c>
      <c r="E1358" s="2">
        <v>6575145</v>
      </c>
      <c r="F1358" s="2">
        <v>6575145</v>
      </c>
      <c r="G1358">
        <v>0</v>
      </c>
    </row>
    <row r="1359" spans="1:7" x14ac:dyDescent="0.25">
      <c r="A1359" s="1">
        <v>45047</v>
      </c>
      <c r="B1359" t="s">
        <v>52</v>
      </c>
      <c r="C1359" t="s">
        <v>22</v>
      </c>
      <c r="D1359" s="2">
        <v>4483794.08</v>
      </c>
      <c r="E1359" s="2">
        <v>669800.80000000005</v>
      </c>
      <c r="F1359" s="2">
        <v>2376873.58</v>
      </c>
      <c r="G1359">
        <v>0</v>
      </c>
    </row>
    <row r="1360" spans="1:7" x14ac:dyDescent="0.25">
      <c r="A1360" s="1">
        <v>45047</v>
      </c>
      <c r="B1360" t="s">
        <v>33</v>
      </c>
      <c r="C1360" t="s">
        <v>94</v>
      </c>
      <c r="D1360" s="2">
        <v>133072</v>
      </c>
      <c r="E1360" s="2">
        <v>377084.61</v>
      </c>
      <c r="F1360" s="2">
        <v>378709.11</v>
      </c>
      <c r="G1360" s="2">
        <v>57759.09</v>
      </c>
    </row>
    <row r="1361" spans="1:7" x14ac:dyDescent="0.25">
      <c r="A1361" s="1">
        <v>45047</v>
      </c>
      <c r="B1361" t="s">
        <v>65</v>
      </c>
      <c r="C1361" t="s">
        <v>22</v>
      </c>
      <c r="D1361" s="2">
        <v>90600000</v>
      </c>
      <c r="E1361" s="2">
        <v>31925867.77</v>
      </c>
      <c r="F1361" s="2">
        <v>31924993.260000002</v>
      </c>
      <c r="G1361">
        <v>0</v>
      </c>
    </row>
    <row r="1362" spans="1:7" x14ac:dyDescent="0.25">
      <c r="A1362" s="1">
        <v>45047</v>
      </c>
      <c r="B1362" t="s">
        <v>36</v>
      </c>
      <c r="C1362" t="s">
        <v>75</v>
      </c>
      <c r="D1362" s="2">
        <v>100110.18</v>
      </c>
      <c r="E1362" s="2">
        <v>228234.12</v>
      </c>
      <c r="F1362" s="2">
        <v>196952.68</v>
      </c>
      <c r="G1362">
        <v>581.5</v>
      </c>
    </row>
    <row r="1363" spans="1:7" x14ac:dyDescent="0.25">
      <c r="A1363" s="1">
        <v>45047</v>
      </c>
      <c r="B1363" t="s">
        <v>31</v>
      </c>
      <c r="C1363" t="s">
        <v>97</v>
      </c>
      <c r="D1363" s="2">
        <v>1668457145</v>
      </c>
      <c r="E1363" s="2">
        <v>7557756060.0799999</v>
      </c>
      <c r="F1363" s="2">
        <v>7557756060.0799999</v>
      </c>
      <c r="G1363">
        <v>0</v>
      </c>
    </row>
    <row r="1364" spans="1:7" x14ac:dyDescent="0.25">
      <c r="A1364" s="1">
        <v>45047</v>
      </c>
      <c r="B1364" t="s">
        <v>33</v>
      </c>
      <c r="C1364" t="s">
        <v>78</v>
      </c>
      <c r="D1364">
        <v>0</v>
      </c>
      <c r="E1364">
        <v>0</v>
      </c>
      <c r="F1364">
        <v>0</v>
      </c>
      <c r="G1364" s="2">
        <v>2969174.13</v>
      </c>
    </row>
    <row r="1365" spans="1:7" x14ac:dyDescent="0.25">
      <c r="A1365" s="1">
        <v>45047</v>
      </c>
      <c r="B1365" t="s">
        <v>26</v>
      </c>
      <c r="C1365" t="s">
        <v>66</v>
      </c>
      <c r="D1365" s="2">
        <v>213555.39</v>
      </c>
      <c r="E1365" s="2">
        <v>182719.46</v>
      </c>
      <c r="F1365" s="2">
        <v>216607.17</v>
      </c>
      <c r="G1365" s="2">
        <v>9200</v>
      </c>
    </row>
    <row r="1366" spans="1:7" x14ac:dyDescent="0.25">
      <c r="A1366" s="1">
        <v>45047</v>
      </c>
      <c r="B1366" t="s">
        <v>23</v>
      </c>
      <c r="C1366" t="s">
        <v>90</v>
      </c>
      <c r="D1366" s="2">
        <v>78000</v>
      </c>
      <c r="E1366" s="2">
        <v>25774.12</v>
      </c>
      <c r="F1366" s="2">
        <v>462642.79</v>
      </c>
      <c r="G1366" s="2">
        <v>1117591</v>
      </c>
    </row>
    <row r="1367" spans="1:7" x14ac:dyDescent="0.25">
      <c r="A1367" s="1">
        <v>45047</v>
      </c>
      <c r="B1367" t="s">
        <v>33</v>
      </c>
      <c r="C1367" t="s">
        <v>55</v>
      </c>
      <c r="D1367" s="2">
        <v>371627.1</v>
      </c>
      <c r="E1367" s="2">
        <v>19027.22</v>
      </c>
      <c r="F1367" s="2">
        <v>18492.88</v>
      </c>
      <c r="G1367" s="2">
        <v>242707.37</v>
      </c>
    </row>
    <row r="1368" spans="1:7" x14ac:dyDescent="0.25">
      <c r="A1368" s="1">
        <v>45047</v>
      </c>
      <c r="B1368" t="s">
        <v>47</v>
      </c>
      <c r="C1368" t="s">
        <v>14</v>
      </c>
      <c r="D1368" s="2">
        <v>1007000</v>
      </c>
      <c r="E1368" s="2">
        <v>4942947.46</v>
      </c>
      <c r="F1368" s="2">
        <v>4942947.46</v>
      </c>
      <c r="G1368" s="2">
        <v>1413735.41</v>
      </c>
    </row>
    <row r="1369" spans="1:7" x14ac:dyDescent="0.25">
      <c r="A1369" s="1">
        <v>45047</v>
      </c>
      <c r="B1369" t="s">
        <v>26</v>
      </c>
      <c r="C1369" t="s">
        <v>40</v>
      </c>
      <c r="D1369" s="2">
        <v>990466.25</v>
      </c>
      <c r="E1369" s="2">
        <v>3026593.74</v>
      </c>
      <c r="F1369" s="2">
        <v>3253593.74</v>
      </c>
      <c r="G1369">
        <v>0</v>
      </c>
    </row>
    <row r="1370" spans="1:7" x14ac:dyDescent="0.25">
      <c r="A1370" s="1">
        <v>45047</v>
      </c>
      <c r="B1370" t="s">
        <v>13</v>
      </c>
      <c r="C1370" t="s">
        <v>72</v>
      </c>
      <c r="D1370" s="2">
        <v>12817228.08</v>
      </c>
      <c r="E1370" s="2">
        <v>7389213.0099999998</v>
      </c>
      <c r="F1370" s="2">
        <v>7367249.7000000002</v>
      </c>
      <c r="G1370">
        <v>0</v>
      </c>
    </row>
    <row r="1371" spans="1:7" x14ac:dyDescent="0.25">
      <c r="A1371" s="1">
        <v>45047</v>
      </c>
      <c r="B1371" t="s">
        <v>52</v>
      </c>
      <c r="C1371" t="s">
        <v>16</v>
      </c>
      <c r="D1371">
        <v>-612</v>
      </c>
      <c r="E1371">
        <v>0</v>
      </c>
      <c r="F1371">
        <v>0</v>
      </c>
      <c r="G1371" s="2">
        <v>2196.65</v>
      </c>
    </row>
    <row r="1372" spans="1:7" x14ac:dyDescent="0.25">
      <c r="A1372" s="1">
        <v>45047</v>
      </c>
      <c r="B1372" t="s">
        <v>33</v>
      </c>
      <c r="C1372" t="s">
        <v>14</v>
      </c>
      <c r="D1372" s="2">
        <v>230359667.13</v>
      </c>
      <c r="E1372" s="2">
        <v>137162458.18000001</v>
      </c>
      <c r="F1372" s="2">
        <v>36373244.590000004</v>
      </c>
      <c r="G1372" s="2">
        <v>16294542.85</v>
      </c>
    </row>
    <row r="1373" spans="1:7" x14ac:dyDescent="0.25">
      <c r="A1373" s="1">
        <v>45047</v>
      </c>
      <c r="B1373" t="s">
        <v>26</v>
      </c>
      <c r="C1373" t="s">
        <v>22</v>
      </c>
      <c r="D1373">
        <v>0</v>
      </c>
      <c r="E1373" s="2">
        <v>6307820.8399999999</v>
      </c>
      <c r="F1373" s="2">
        <v>6307820.8399999999</v>
      </c>
      <c r="G1373">
        <v>0</v>
      </c>
    </row>
    <row r="1374" spans="1:7" x14ac:dyDescent="0.25">
      <c r="A1374" s="1">
        <v>45047</v>
      </c>
      <c r="B1374" t="s">
        <v>43</v>
      </c>
      <c r="C1374" t="s">
        <v>75</v>
      </c>
      <c r="D1374" s="2">
        <v>34744178.060000002</v>
      </c>
      <c r="E1374" s="2">
        <v>34557884.840000004</v>
      </c>
      <c r="F1374" s="2">
        <v>34679385.520000003</v>
      </c>
      <c r="G1374" s="2">
        <v>349099.34</v>
      </c>
    </row>
    <row r="1375" spans="1:7" x14ac:dyDescent="0.25">
      <c r="A1375" s="1">
        <v>45047</v>
      </c>
      <c r="B1375" t="s">
        <v>65</v>
      </c>
      <c r="C1375" t="s">
        <v>34</v>
      </c>
      <c r="D1375" s="2">
        <v>46279.26</v>
      </c>
      <c r="E1375" s="2">
        <v>40718.730000000003</v>
      </c>
      <c r="F1375" s="2">
        <v>48139.24</v>
      </c>
      <c r="G1375" s="2">
        <v>86130.44</v>
      </c>
    </row>
    <row r="1376" spans="1:7" x14ac:dyDescent="0.25">
      <c r="A1376" s="1">
        <v>45047</v>
      </c>
      <c r="B1376" t="s">
        <v>21</v>
      </c>
      <c r="C1376" t="s">
        <v>84</v>
      </c>
      <c r="D1376" s="2">
        <v>46091011.009999998</v>
      </c>
      <c r="E1376" s="2">
        <v>632470.79</v>
      </c>
      <c r="F1376" s="2">
        <v>631873.76</v>
      </c>
      <c r="G1376" s="2">
        <v>7662993.7400000002</v>
      </c>
    </row>
    <row r="1377" spans="1:7" x14ac:dyDescent="0.25">
      <c r="A1377" s="1">
        <v>45047</v>
      </c>
      <c r="B1377" t="s">
        <v>33</v>
      </c>
      <c r="C1377" t="s">
        <v>40</v>
      </c>
      <c r="D1377">
        <v>0</v>
      </c>
      <c r="E1377">
        <v>0</v>
      </c>
      <c r="F1377">
        <v>0</v>
      </c>
      <c r="G1377" s="2">
        <v>93070.94</v>
      </c>
    </row>
    <row r="1378" spans="1:7" x14ac:dyDescent="0.25">
      <c r="A1378" s="1">
        <v>45047</v>
      </c>
      <c r="B1378" t="s">
        <v>7</v>
      </c>
      <c r="C1378" t="s">
        <v>97</v>
      </c>
      <c r="D1378" s="2">
        <v>338367853.44999999</v>
      </c>
      <c r="E1378" s="2">
        <v>2952271686.5</v>
      </c>
      <c r="F1378" s="2">
        <v>2952271686.5</v>
      </c>
      <c r="G1378" s="2">
        <v>791413.94</v>
      </c>
    </row>
    <row r="1379" spans="1:7" x14ac:dyDescent="0.25">
      <c r="A1379" s="1">
        <v>45047</v>
      </c>
      <c r="B1379" t="s">
        <v>43</v>
      </c>
      <c r="C1379" t="s">
        <v>50</v>
      </c>
      <c r="D1379">
        <v>-422.46</v>
      </c>
      <c r="E1379" s="2">
        <v>38731</v>
      </c>
      <c r="F1379" s="2">
        <v>38731</v>
      </c>
      <c r="G1379">
        <v>0</v>
      </c>
    </row>
    <row r="1380" spans="1:7" x14ac:dyDescent="0.25">
      <c r="A1380" s="1">
        <v>45047</v>
      </c>
      <c r="B1380" t="s">
        <v>15</v>
      </c>
      <c r="C1380" t="s">
        <v>79</v>
      </c>
      <c r="D1380" s="2">
        <v>100175.76</v>
      </c>
      <c r="E1380" s="2">
        <v>86007.29</v>
      </c>
      <c r="F1380" s="2">
        <v>86167.46</v>
      </c>
      <c r="G1380">
        <v>0</v>
      </c>
    </row>
    <row r="1381" spans="1:7" x14ac:dyDescent="0.25">
      <c r="A1381" s="1">
        <v>45047</v>
      </c>
      <c r="B1381" t="s">
        <v>23</v>
      </c>
      <c r="C1381" t="s">
        <v>96</v>
      </c>
      <c r="D1381" s="2">
        <v>2527930.58</v>
      </c>
      <c r="E1381" s="2">
        <v>23992003.57</v>
      </c>
      <c r="F1381" s="2">
        <v>24538580.420000002</v>
      </c>
      <c r="G1381" s="2">
        <v>804853.24</v>
      </c>
    </row>
    <row r="1382" spans="1:7" x14ac:dyDescent="0.25">
      <c r="A1382" s="1">
        <v>45047</v>
      </c>
      <c r="B1382" t="s">
        <v>62</v>
      </c>
      <c r="C1382" t="s">
        <v>22</v>
      </c>
      <c r="D1382" s="2">
        <v>950000</v>
      </c>
      <c r="E1382" s="2">
        <v>4331351.4000000004</v>
      </c>
      <c r="F1382" s="2">
        <v>6750454.3700000001</v>
      </c>
      <c r="G1382">
        <v>0</v>
      </c>
    </row>
    <row r="1383" spans="1:7" x14ac:dyDescent="0.25">
      <c r="A1383" s="1">
        <v>45047</v>
      </c>
      <c r="B1383" t="s">
        <v>54</v>
      </c>
      <c r="C1383" t="s">
        <v>14</v>
      </c>
      <c r="D1383" s="2">
        <v>3109016.35</v>
      </c>
      <c r="E1383" s="2">
        <v>707599.35999999999</v>
      </c>
      <c r="F1383" s="2">
        <v>683077.18</v>
      </c>
      <c r="G1383" s="2">
        <v>6439745.8399999999</v>
      </c>
    </row>
    <row r="1384" spans="1:7" x14ac:dyDescent="0.25">
      <c r="A1384" s="1">
        <v>45047</v>
      </c>
      <c r="B1384" t="s">
        <v>7</v>
      </c>
      <c r="C1384" t="s">
        <v>78</v>
      </c>
      <c r="D1384">
        <v>0</v>
      </c>
      <c r="E1384">
        <v>0</v>
      </c>
      <c r="F1384">
        <v>0</v>
      </c>
      <c r="G1384" s="2">
        <v>474772.39</v>
      </c>
    </row>
    <row r="1385" spans="1:7" x14ac:dyDescent="0.25">
      <c r="A1385" s="1">
        <v>45047</v>
      </c>
      <c r="B1385" t="s">
        <v>28</v>
      </c>
      <c r="C1385" t="s">
        <v>14</v>
      </c>
      <c r="D1385" s="2">
        <v>63759138.780000001</v>
      </c>
      <c r="E1385" s="2">
        <v>82199500.629999995</v>
      </c>
      <c r="F1385" s="2">
        <v>79213636.920000002</v>
      </c>
      <c r="G1385" s="2">
        <v>7090002.54</v>
      </c>
    </row>
    <row r="1386" spans="1:7" x14ac:dyDescent="0.25">
      <c r="A1386" s="1">
        <v>45047</v>
      </c>
      <c r="B1386" t="s">
        <v>13</v>
      </c>
      <c r="C1386" t="s">
        <v>39</v>
      </c>
      <c r="D1386">
        <v>0</v>
      </c>
      <c r="E1386">
        <v>0</v>
      </c>
      <c r="F1386">
        <v>0</v>
      </c>
      <c r="G1386" s="2">
        <v>1241057.73</v>
      </c>
    </row>
    <row r="1387" spans="1:7" x14ac:dyDescent="0.25">
      <c r="A1387" s="1">
        <v>45047</v>
      </c>
      <c r="B1387" t="s">
        <v>36</v>
      </c>
      <c r="C1387" t="s">
        <v>49</v>
      </c>
      <c r="D1387" s="2">
        <v>37853731.850000001</v>
      </c>
      <c r="E1387" s="2">
        <v>36539150.450000003</v>
      </c>
      <c r="F1387" s="2">
        <v>33603961.259999998</v>
      </c>
      <c r="G1387">
        <v>0</v>
      </c>
    </row>
    <row r="1388" spans="1:7" x14ac:dyDescent="0.25">
      <c r="A1388" s="1">
        <v>45047</v>
      </c>
      <c r="B1388" t="s">
        <v>54</v>
      </c>
      <c r="C1388" t="s">
        <v>98</v>
      </c>
      <c r="D1388" s="2">
        <v>7200</v>
      </c>
      <c r="E1388" s="2">
        <v>512891.92</v>
      </c>
      <c r="F1388" s="2">
        <v>522773.92</v>
      </c>
      <c r="G1388" s="2">
        <v>118592.1</v>
      </c>
    </row>
    <row r="1389" spans="1:7" x14ac:dyDescent="0.25">
      <c r="A1389" s="1">
        <v>45047</v>
      </c>
      <c r="B1389" t="s">
        <v>45</v>
      </c>
      <c r="C1389" t="s">
        <v>10</v>
      </c>
      <c r="D1389">
        <v>0</v>
      </c>
      <c r="E1389">
        <v>0</v>
      </c>
      <c r="F1389">
        <v>0</v>
      </c>
      <c r="G1389" s="2">
        <v>783230.75</v>
      </c>
    </row>
    <row r="1390" spans="1:7" x14ac:dyDescent="0.25">
      <c r="A1390" s="1">
        <v>45047</v>
      </c>
      <c r="B1390" t="s">
        <v>23</v>
      </c>
      <c r="C1390" t="s">
        <v>75</v>
      </c>
      <c r="D1390" s="2">
        <v>1613871.21</v>
      </c>
      <c r="E1390" s="2">
        <v>1404021.15</v>
      </c>
      <c r="F1390" s="2">
        <v>1404532.03</v>
      </c>
      <c r="G1390" s="2">
        <v>621100.91</v>
      </c>
    </row>
    <row r="1391" spans="1:7" x14ac:dyDescent="0.25">
      <c r="A1391" s="1">
        <v>45047</v>
      </c>
      <c r="B1391" t="s">
        <v>54</v>
      </c>
      <c r="C1391" t="s">
        <v>100</v>
      </c>
      <c r="D1391" s="2">
        <v>2010244.24</v>
      </c>
      <c r="E1391" s="2">
        <v>316385.42</v>
      </c>
      <c r="F1391" s="2">
        <v>287353.32</v>
      </c>
      <c r="G1391" s="2">
        <v>690448.11</v>
      </c>
    </row>
    <row r="1392" spans="1:7" x14ac:dyDescent="0.25">
      <c r="A1392" s="1">
        <v>45047</v>
      </c>
      <c r="B1392" t="s">
        <v>65</v>
      </c>
      <c r="C1392" t="s">
        <v>89</v>
      </c>
      <c r="D1392" s="2">
        <v>76672629.989999995</v>
      </c>
      <c r="E1392" s="2">
        <v>18650.8</v>
      </c>
      <c r="F1392" s="2">
        <v>18650.8</v>
      </c>
      <c r="G1392" s="2">
        <v>2604887.14</v>
      </c>
    </row>
    <row r="1393" spans="1:7" x14ac:dyDescent="0.25">
      <c r="A1393" s="1">
        <v>45047</v>
      </c>
      <c r="B1393" t="s">
        <v>33</v>
      </c>
      <c r="C1393" t="s">
        <v>64</v>
      </c>
      <c r="D1393" s="2">
        <v>9935297.3499999996</v>
      </c>
      <c r="E1393" s="2">
        <v>2589590.61</v>
      </c>
      <c r="F1393" s="2">
        <v>1980968.73</v>
      </c>
      <c r="G1393" s="2">
        <v>30710.33</v>
      </c>
    </row>
    <row r="1394" spans="1:7" x14ac:dyDescent="0.25">
      <c r="A1394" s="1">
        <v>45047</v>
      </c>
      <c r="B1394" t="s">
        <v>27</v>
      </c>
      <c r="C1394" t="s">
        <v>72</v>
      </c>
      <c r="D1394">
        <v>0</v>
      </c>
      <c r="E1394" s="2">
        <v>9051683.4499999993</v>
      </c>
      <c r="F1394" s="2">
        <v>11909027.529999999</v>
      </c>
      <c r="G1394">
        <v>0</v>
      </c>
    </row>
    <row r="1395" spans="1:7" x14ac:dyDescent="0.25">
      <c r="A1395" s="1">
        <v>45047</v>
      </c>
      <c r="B1395" t="s">
        <v>36</v>
      </c>
      <c r="C1395" t="s">
        <v>70</v>
      </c>
      <c r="D1395" s="2">
        <v>300000</v>
      </c>
      <c r="E1395" s="2">
        <v>3266505635.9499998</v>
      </c>
      <c r="F1395" s="2">
        <v>3236459363.4699998</v>
      </c>
      <c r="G1395">
        <v>0</v>
      </c>
    </row>
    <row r="1396" spans="1:7" x14ac:dyDescent="0.25">
      <c r="A1396" s="1">
        <v>45047</v>
      </c>
      <c r="B1396" t="s">
        <v>91</v>
      </c>
      <c r="C1396" t="s">
        <v>14</v>
      </c>
      <c r="D1396" s="2">
        <v>30296733.91</v>
      </c>
      <c r="E1396" s="2">
        <v>11795335.49</v>
      </c>
      <c r="F1396" s="2">
        <v>11727022.220000001</v>
      </c>
      <c r="G1396" s="2">
        <v>6929283.1900000004</v>
      </c>
    </row>
    <row r="1397" spans="1:7" x14ac:dyDescent="0.25">
      <c r="A1397" s="1">
        <v>45047</v>
      </c>
      <c r="B1397" t="s">
        <v>62</v>
      </c>
      <c r="C1397" t="s">
        <v>64</v>
      </c>
      <c r="D1397" s="2">
        <v>1705812.59</v>
      </c>
      <c r="E1397" s="2">
        <v>594927.35999999999</v>
      </c>
      <c r="F1397" s="2">
        <v>555267.07999999996</v>
      </c>
      <c r="G1397" s="2">
        <v>1932400.02</v>
      </c>
    </row>
    <row r="1398" spans="1:7" x14ac:dyDescent="0.25">
      <c r="A1398" s="1">
        <v>45047</v>
      </c>
      <c r="B1398" t="s">
        <v>23</v>
      </c>
      <c r="C1398" t="s">
        <v>24</v>
      </c>
      <c r="D1398">
        <v>0</v>
      </c>
      <c r="E1398">
        <v>0</v>
      </c>
      <c r="F1398">
        <v>0</v>
      </c>
      <c r="G1398" s="2">
        <v>435000</v>
      </c>
    </row>
    <row r="1399" spans="1:7" x14ac:dyDescent="0.25">
      <c r="A1399" s="1">
        <v>45047</v>
      </c>
      <c r="B1399" t="s">
        <v>23</v>
      </c>
      <c r="C1399" t="s">
        <v>103</v>
      </c>
      <c r="D1399" s="2">
        <v>20400779.359999999</v>
      </c>
      <c r="E1399" s="2">
        <v>2997548.45</v>
      </c>
      <c r="F1399" s="2">
        <v>2941039.79</v>
      </c>
      <c r="G1399" s="2">
        <v>9987566.4199999999</v>
      </c>
    </row>
    <row r="1400" spans="1:7" x14ac:dyDescent="0.25">
      <c r="A1400" s="1">
        <v>45047</v>
      </c>
      <c r="B1400" t="s">
        <v>91</v>
      </c>
      <c r="C1400" t="s">
        <v>98</v>
      </c>
      <c r="D1400" s="2">
        <v>47276447.420000002</v>
      </c>
      <c r="E1400" s="2">
        <v>5295973</v>
      </c>
      <c r="F1400" s="2">
        <v>5295973</v>
      </c>
      <c r="G1400" s="2">
        <v>9664243.1699999999</v>
      </c>
    </row>
    <row r="1401" spans="1:7" x14ac:dyDescent="0.25">
      <c r="A1401" s="1">
        <v>45047</v>
      </c>
      <c r="B1401" t="s">
        <v>7</v>
      </c>
      <c r="C1401" t="s">
        <v>22</v>
      </c>
      <c r="D1401" s="2">
        <v>243231945.63999999</v>
      </c>
      <c r="E1401" s="2">
        <v>674593146.71000004</v>
      </c>
      <c r="F1401" s="2">
        <v>674732822.25999999</v>
      </c>
      <c r="G1401" s="2">
        <v>660191.96</v>
      </c>
    </row>
    <row r="1402" spans="1:7" x14ac:dyDescent="0.25">
      <c r="A1402" s="1">
        <v>45047</v>
      </c>
      <c r="B1402" t="s">
        <v>91</v>
      </c>
      <c r="C1402" t="s">
        <v>111</v>
      </c>
      <c r="D1402" s="2">
        <v>121790278.26000001</v>
      </c>
      <c r="E1402" s="2">
        <v>676965.04</v>
      </c>
      <c r="F1402" s="2">
        <v>729747.43</v>
      </c>
      <c r="G1402" s="2">
        <v>10816174.48</v>
      </c>
    </row>
    <row r="1403" spans="1:7" x14ac:dyDescent="0.25">
      <c r="A1403" s="1">
        <v>45047</v>
      </c>
      <c r="B1403" t="s">
        <v>91</v>
      </c>
      <c r="C1403" t="s">
        <v>72</v>
      </c>
      <c r="D1403" s="2">
        <v>373784.93</v>
      </c>
      <c r="E1403" s="2">
        <v>7931789.5300000003</v>
      </c>
      <c r="F1403" s="2">
        <v>7894140.5199999996</v>
      </c>
      <c r="G1403">
        <v>0</v>
      </c>
    </row>
    <row r="1404" spans="1:7" x14ac:dyDescent="0.25">
      <c r="A1404" s="1">
        <v>45047</v>
      </c>
      <c r="B1404" t="s">
        <v>54</v>
      </c>
      <c r="C1404" t="s">
        <v>22</v>
      </c>
      <c r="D1404" s="2">
        <v>7069428.2199999997</v>
      </c>
      <c r="E1404" s="2">
        <v>20493523.579999998</v>
      </c>
      <c r="F1404" s="2">
        <v>20493523.579999998</v>
      </c>
      <c r="G1404">
        <v>0</v>
      </c>
    </row>
    <row r="1405" spans="1:7" x14ac:dyDescent="0.25">
      <c r="A1405" s="1">
        <v>45047</v>
      </c>
      <c r="B1405" t="s">
        <v>17</v>
      </c>
      <c r="C1405" t="s">
        <v>72</v>
      </c>
      <c r="D1405" s="2">
        <v>1533</v>
      </c>
      <c r="E1405" s="2">
        <v>15670433.869999999</v>
      </c>
      <c r="F1405" s="2">
        <v>15583309.800000001</v>
      </c>
      <c r="G1405">
        <v>0</v>
      </c>
    </row>
    <row r="1406" spans="1:7" x14ac:dyDescent="0.25">
      <c r="A1406" s="1">
        <v>45047</v>
      </c>
      <c r="B1406" t="s">
        <v>45</v>
      </c>
      <c r="C1406" t="s">
        <v>46</v>
      </c>
      <c r="D1406">
        <v>0</v>
      </c>
      <c r="E1406">
        <v>0</v>
      </c>
      <c r="F1406">
        <v>0</v>
      </c>
      <c r="G1406" s="2">
        <v>1188259.3500000001</v>
      </c>
    </row>
    <row r="1407" spans="1:7" x14ac:dyDescent="0.25">
      <c r="A1407" s="1">
        <v>45047</v>
      </c>
      <c r="B1407" t="s">
        <v>47</v>
      </c>
      <c r="C1407" t="s">
        <v>76</v>
      </c>
      <c r="D1407" s="2">
        <v>168095690.47999999</v>
      </c>
      <c r="E1407" s="2">
        <v>16183135.800000001</v>
      </c>
      <c r="F1407" s="2">
        <v>20868791.609999999</v>
      </c>
      <c r="G1407" s="2">
        <v>11010070.380000001</v>
      </c>
    </row>
    <row r="1408" spans="1:7" x14ac:dyDescent="0.25">
      <c r="A1408" s="1">
        <v>45047</v>
      </c>
      <c r="B1408" t="s">
        <v>15</v>
      </c>
      <c r="C1408" t="s">
        <v>72</v>
      </c>
      <c r="D1408" s="2">
        <v>27389</v>
      </c>
      <c r="E1408" s="2">
        <v>2461719.87</v>
      </c>
      <c r="F1408" s="2">
        <v>2520181.0699999998</v>
      </c>
      <c r="G1408">
        <v>0</v>
      </c>
    </row>
    <row r="1409" spans="1:7" x14ac:dyDescent="0.25">
      <c r="A1409" s="1">
        <v>45047</v>
      </c>
      <c r="B1409" t="s">
        <v>43</v>
      </c>
      <c r="C1409" t="s">
        <v>14</v>
      </c>
      <c r="D1409" s="2">
        <v>7083409.6799999997</v>
      </c>
      <c r="E1409" s="2">
        <v>2810806.73</v>
      </c>
      <c r="F1409" s="2">
        <v>2490899.5</v>
      </c>
      <c r="G1409" s="2">
        <v>64538.68</v>
      </c>
    </row>
    <row r="1410" spans="1:7" x14ac:dyDescent="0.25">
      <c r="A1410" s="1">
        <v>45047</v>
      </c>
      <c r="B1410" t="s">
        <v>33</v>
      </c>
      <c r="C1410" t="s">
        <v>100</v>
      </c>
      <c r="D1410" s="2">
        <v>109551.03999999999</v>
      </c>
      <c r="E1410" s="2">
        <v>77019.27</v>
      </c>
      <c r="F1410" s="2">
        <v>50323.87</v>
      </c>
      <c r="G1410">
        <v>37.9</v>
      </c>
    </row>
    <row r="1411" spans="1:7" x14ac:dyDescent="0.25">
      <c r="A1411" s="1">
        <v>45047</v>
      </c>
      <c r="B1411" t="s">
        <v>7</v>
      </c>
      <c r="C1411" t="s">
        <v>55</v>
      </c>
      <c r="D1411" s="2">
        <v>5354681.2</v>
      </c>
      <c r="E1411" s="2">
        <v>4882194.6100000003</v>
      </c>
      <c r="F1411" s="2">
        <v>4880846.92</v>
      </c>
      <c r="G1411" s="2">
        <v>753980.26</v>
      </c>
    </row>
    <row r="1412" spans="1:7" x14ac:dyDescent="0.25">
      <c r="A1412" s="1">
        <v>45047</v>
      </c>
      <c r="B1412" t="s">
        <v>26</v>
      </c>
      <c r="C1412" t="s">
        <v>68</v>
      </c>
      <c r="D1412" s="2">
        <v>585428.31999999995</v>
      </c>
      <c r="E1412" s="2">
        <v>540303.81000000006</v>
      </c>
      <c r="F1412" s="2">
        <v>1519141.69</v>
      </c>
      <c r="G1412" s="2">
        <v>1616908.63</v>
      </c>
    </row>
    <row r="1413" spans="1:7" x14ac:dyDescent="0.25">
      <c r="A1413" s="1">
        <v>45047</v>
      </c>
      <c r="B1413" t="s">
        <v>54</v>
      </c>
      <c r="C1413" t="s">
        <v>101</v>
      </c>
      <c r="D1413" s="2">
        <v>40380407.619999997</v>
      </c>
      <c r="E1413" s="2">
        <v>493316.31</v>
      </c>
      <c r="F1413" s="2">
        <v>449059.18</v>
      </c>
      <c r="G1413" s="2">
        <v>39764132.149999999</v>
      </c>
    </row>
    <row r="1414" spans="1:7" x14ac:dyDescent="0.25">
      <c r="A1414" s="1">
        <v>45047</v>
      </c>
      <c r="B1414" t="s">
        <v>15</v>
      </c>
      <c r="C1414" t="s">
        <v>75</v>
      </c>
      <c r="D1414" s="2">
        <v>6272121.3799999999</v>
      </c>
      <c r="E1414" s="2">
        <v>8137962.1699999999</v>
      </c>
      <c r="F1414" s="2">
        <v>9632467.2100000009</v>
      </c>
      <c r="G1414" s="2">
        <v>4670998.74</v>
      </c>
    </row>
    <row r="1415" spans="1:7" x14ac:dyDescent="0.25">
      <c r="A1415" s="1">
        <v>45047</v>
      </c>
      <c r="B1415" t="s">
        <v>17</v>
      </c>
      <c r="C1415" t="s">
        <v>86</v>
      </c>
      <c r="D1415" s="2">
        <v>1432088.58</v>
      </c>
      <c r="E1415" s="2">
        <v>800624.62</v>
      </c>
      <c r="F1415" s="2">
        <v>794709.21</v>
      </c>
      <c r="G1415" s="2">
        <v>24992.880000000001</v>
      </c>
    </row>
    <row r="1416" spans="1:7" x14ac:dyDescent="0.25">
      <c r="A1416" s="1">
        <v>45047</v>
      </c>
      <c r="B1416" t="s">
        <v>54</v>
      </c>
      <c r="C1416" t="s">
        <v>79</v>
      </c>
      <c r="D1416" s="2">
        <v>127795.49</v>
      </c>
      <c r="E1416" s="2">
        <v>23803.35</v>
      </c>
      <c r="F1416" s="2">
        <v>28462.35</v>
      </c>
      <c r="G1416">
        <v>10.35</v>
      </c>
    </row>
    <row r="1417" spans="1:7" x14ac:dyDescent="0.25">
      <c r="A1417" s="1">
        <v>45047</v>
      </c>
      <c r="B1417" t="s">
        <v>28</v>
      </c>
      <c r="C1417" t="s">
        <v>57</v>
      </c>
      <c r="D1417" s="2">
        <v>264959175.41999999</v>
      </c>
      <c r="E1417" s="2">
        <v>213673095.81</v>
      </c>
      <c r="F1417" s="2">
        <v>169652926.93000001</v>
      </c>
      <c r="G1417" s="2">
        <v>3441195.22</v>
      </c>
    </row>
    <row r="1418" spans="1:7" x14ac:dyDescent="0.25">
      <c r="A1418" s="1">
        <v>45047</v>
      </c>
      <c r="B1418" t="s">
        <v>15</v>
      </c>
      <c r="C1418" t="s">
        <v>88</v>
      </c>
      <c r="D1418" s="2">
        <v>554064.28</v>
      </c>
      <c r="E1418" s="2">
        <v>1842500.37</v>
      </c>
      <c r="F1418" s="2">
        <v>1870019.12</v>
      </c>
      <c r="G1418" s="2">
        <v>11862.18</v>
      </c>
    </row>
    <row r="1419" spans="1:7" x14ac:dyDescent="0.25">
      <c r="A1419" s="1">
        <v>45047</v>
      </c>
      <c r="B1419" t="s">
        <v>52</v>
      </c>
      <c r="C1419" t="s">
        <v>12</v>
      </c>
      <c r="D1419" s="2">
        <v>323399.64</v>
      </c>
      <c r="E1419" s="2">
        <v>85038</v>
      </c>
      <c r="F1419" s="2">
        <v>77055.77</v>
      </c>
      <c r="G1419" s="2">
        <v>60922.41</v>
      </c>
    </row>
    <row r="1420" spans="1:7" x14ac:dyDescent="0.25">
      <c r="A1420" s="1">
        <v>45047</v>
      </c>
      <c r="B1420" t="s">
        <v>91</v>
      </c>
      <c r="C1420" t="s">
        <v>78</v>
      </c>
      <c r="D1420">
        <v>0</v>
      </c>
      <c r="E1420">
        <v>0</v>
      </c>
      <c r="F1420">
        <v>0</v>
      </c>
      <c r="G1420" s="2">
        <v>-10089.14</v>
      </c>
    </row>
    <row r="1421" spans="1:7" x14ac:dyDescent="0.25">
      <c r="A1421" s="1">
        <v>45047</v>
      </c>
      <c r="B1421" t="s">
        <v>69</v>
      </c>
      <c r="C1421" t="s">
        <v>75</v>
      </c>
      <c r="D1421" s="2">
        <v>60829475.82</v>
      </c>
      <c r="E1421" s="2">
        <v>24591360.789999999</v>
      </c>
      <c r="F1421" s="2">
        <v>20951018.77</v>
      </c>
      <c r="G1421" s="2">
        <v>8336766.29</v>
      </c>
    </row>
    <row r="1422" spans="1:7" x14ac:dyDescent="0.25">
      <c r="A1422" s="1">
        <v>45047</v>
      </c>
      <c r="B1422" t="s">
        <v>13</v>
      </c>
      <c r="C1422" t="s">
        <v>75</v>
      </c>
      <c r="D1422" s="2">
        <v>86000</v>
      </c>
      <c r="E1422" s="2">
        <v>54934.17</v>
      </c>
      <c r="F1422" s="2">
        <v>54934.17</v>
      </c>
      <c r="G1422" s="2">
        <v>85163.72</v>
      </c>
    </row>
    <row r="1423" spans="1:7" x14ac:dyDescent="0.25">
      <c r="A1423" s="1">
        <v>45047</v>
      </c>
      <c r="B1423" t="s">
        <v>23</v>
      </c>
      <c r="C1423" t="s">
        <v>77</v>
      </c>
      <c r="D1423" s="2">
        <v>-16284.69</v>
      </c>
      <c r="E1423">
        <v>0</v>
      </c>
      <c r="F1423">
        <v>0</v>
      </c>
      <c r="G1423" s="2">
        <v>3901.92</v>
      </c>
    </row>
    <row r="1424" spans="1:7" x14ac:dyDescent="0.25">
      <c r="A1424" s="1">
        <v>45047</v>
      </c>
      <c r="B1424" t="s">
        <v>52</v>
      </c>
      <c r="C1424" t="s">
        <v>57</v>
      </c>
      <c r="D1424" s="2">
        <v>88600167.840000004</v>
      </c>
      <c r="E1424" s="2">
        <v>58237407.869999997</v>
      </c>
      <c r="F1424" s="2">
        <v>60740024.649999999</v>
      </c>
      <c r="G1424" s="2">
        <v>230608.71</v>
      </c>
    </row>
    <row r="1425" spans="1:7" x14ac:dyDescent="0.25">
      <c r="A1425" s="1">
        <v>45047</v>
      </c>
      <c r="B1425" t="s">
        <v>43</v>
      </c>
      <c r="C1425" t="s">
        <v>72</v>
      </c>
      <c r="D1425" s="2">
        <v>2094997.79</v>
      </c>
      <c r="E1425" s="2">
        <v>6292352.8399999999</v>
      </c>
      <c r="F1425" s="2">
        <v>6308051.9800000004</v>
      </c>
      <c r="G1425">
        <v>0</v>
      </c>
    </row>
    <row r="1426" spans="1:7" x14ac:dyDescent="0.25">
      <c r="A1426" s="1">
        <v>45047</v>
      </c>
      <c r="B1426" t="s">
        <v>69</v>
      </c>
      <c r="C1426" t="s">
        <v>105</v>
      </c>
      <c r="D1426" s="2">
        <v>18325252.5</v>
      </c>
      <c r="E1426" s="2">
        <v>423514.02</v>
      </c>
      <c r="F1426" s="2">
        <v>386843.82</v>
      </c>
      <c r="G1426" s="2">
        <v>323923.81</v>
      </c>
    </row>
    <row r="1427" spans="1:7" x14ac:dyDescent="0.25">
      <c r="A1427" s="1">
        <v>45047</v>
      </c>
      <c r="B1427" t="s">
        <v>54</v>
      </c>
      <c r="C1427" t="s">
        <v>110</v>
      </c>
      <c r="D1427">
        <v>0</v>
      </c>
      <c r="E1427" s="2">
        <v>58000.42</v>
      </c>
      <c r="F1427">
        <v>0</v>
      </c>
      <c r="G1427">
        <v>0</v>
      </c>
    </row>
    <row r="1428" spans="1:7" x14ac:dyDescent="0.25">
      <c r="A1428" s="1">
        <v>45047</v>
      </c>
      <c r="B1428" t="s">
        <v>36</v>
      </c>
      <c r="C1428" t="s">
        <v>38</v>
      </c>
      <c r="D1428" s="2">
        <v>1071130.2</v>
      </c>
      <c r="E1428" s="2">
        <v>4043668293.1999998</v>
      </c>
      <c r="F1428" s="2">
        <v>4002840894.4499998</v>
      </c>
      <c r="G1428">
        <v>0</v>
      </c>
    </row>
    <row r="1429" spans="1:7" x14ac:dyDescent="0.25">
      <c r="A1429" s="1">
        <v>45047</v>
      </c>
      <c r="B1429" t="s">
        <v>33</v>
      </c>
      <c r="C1429" t="s">
        <v>76</v>
      </c>
      <c r="D1429" s="2">
        <v>13794092.029999999</v>
      </c>
      <c r="E1429" s="2">
        <v>10445137.75</v>
      </c>
      <c r="F1429" s="2">
        <v>7818440.9199999999</v>
      </c>
      <c r="G1429">
        <v>0</v>
      </c>
    </row>
    <row r="1430" spans="1:7" x14ac:dyDescent="0.25">
      <c r="A1430" s="1">
        <v>45047</v>
      </c>
      <c r="B1430" t="s">
        <v>15</v>
      </c>
      <c r="C1430" t="s">
        <v>103</v>
      </c>
      <c r="D1430" s="2">
        <v>38281804.039999999</v>
      </c>
      <c r="E1430" s="2">
        <v>6600759.46</v>
      </c>
      <c r="F1430" s="2">
        <v>7616857.4500000002</v>
      </c>
      <c r="G1430" s="2">
        <v>390115.34</v>
      </c>
    </row>
    <row r="1431" spans="1:7" x14ac:dyDescent="0.25">
      <c r="A1431" s="1">
        <v>45047</v>
      </c>
      <c r="B1431" t="s">
        <v>13</v>
      </c>
      <c r="C1431" t="s">
        <v>55</v>
      </c>
      <c r="D1431" s="2">
        <v>3829074.71</v>
      </c>
      <c r="E1431" s="2">
        <v>785743.86</v>
      </c>
      <c r="F1431" s="2">
        <v>727941.25</v>
      </c>
      <c r="G1431" s="2">
        <v>1324664.8799999999</v>
      </c>
    </row>
    <row r="1432" spans="1:7" x14ac:dyDescent="0.25">
      <c r="A1432" s="1">
        <v>45047</v>
      </c>
      <c r="B1432" t="s">
        <v>33</v>
      </c>
      <c r="C1432" t="s">
        <v>22</v>
      </c>
      <c r="D1432" s="2">
        <v>113888426.29000001</v>
      </c>
      <c r="E1432" s="2">
        <v>162118091.75</v>
      </c>
      <c r="F1432" s="2">
        <v>161006597.19</v>
      </c>
      <c r="G1432">
        <v>0</v>
      </c>
    </row>
    <row r="1433" spans="1:7" x14ac:dyDescent="0.25">
      <c r="A1433" s="1">
        <v>45047</v>
      </c>
      <c r="B1433" t="s">
        <v>62</v>
      </c>
      <c r="C1433" t="s">
        <v>72</v>
      </c>
      <c r="D1433" s="2">
        <v>922039.83</v>
      </c>
      <c r="E1433" s="2">
        <v>2962888.01</v>
      </c>
      <c r="F1433" s="2">
        <v>2985318.74</v>
      </c>
      <c r="G1433">
        <v>0</v>
      </c>
    </row>
    <row r="1434" spans="1:7" x14ac:dyDescent="0.25">
      <c r="A1434" s="1">
        <v>45047</v>
      </c>
      <c r="B1434" t="s">
        <v>33</v>
      </c>
      <c r="C1434" t="s">
        <v>66</v>
      </c>
      <c r="D1434" s="2">
        <v>1811488.19</v>
      </c>
      <c r="E1434" s="2">
        <v>3977456.51</v>
      </c>
      <c r="F1434" s="2">
        <v>3817496.22</v>
      </c>
      <c r="G1434" s="2">
        <v>1769652.88</v>
      </c>
    </row>
    <row r="1435" spans="1:7" x14ac:dyDescent="0.25">
      <c r="A1435" s="1">
        <v>45047</v>
      </c>
      <c r="B1435" t="s">
        <v>52</v>
      </c>
      <c r="C1435" t="s">
        <v>72</v>
      </c>
      <c r="D1435" s="2">
        <v>19539688.34</v>
      </c>
      <c r="E1435" s="2">
        <v>6941037.5099999998</v>
      </c>
      <c r="F1435" s="2">
        <v>8560706.3599999994</v>
      </c>
      <c r="G1435">
        <v>0</v>
      </c>
    </row>
    <row r="1436" spans="1:7" x14ac:dyDescent="0.25">
      <c r="A1436" s="1">
        <v>45047</v>
      </c>
      <c r="B1436" t="s">
        <v>43</v>
      </c>
      <c r="C1436" t="s">
        <v>44</v>
      </c>
      <c r="D1436">
        <v>0</v>
      </c>
      <c r="E1436" s="2">
        <v>4649.03</v>
      </c>
      <c r="F1436" s="2">
        <v>5090.25</v>
      </c>
      <c r="G1436" s="2">
        <v>157482.12</v>
      </c>
    </row>
    <row r="1437" spans="1:7" x14ac:dyDescent="0.25">
      <c r="A1437" s="1">
        <v>45047</v>
      </c>
      <c r="B1437" t="s">
        <v>54</v>
      </c>
      <c r="C1437" t="s">
        <v>108</v>
      </c>
      <c r="D1437" s="2">
        <v>60017.72</v>
      </c>
      <c r="E1437" s="2">
        <v>171375.34</v>
      </c>
      <c r="F1437" s="2">
        <v>157725.9</v>
      </c>
      <c r="G1437" s="2">
        <v>352956.64</v>
      </c>
    </row>
    <row r="1438" spans="1:7" x14ac:dyDescent="0.25">
      <c r="A1438" s="1">
        <v>45047</v>
      </c>
      <c r="B1438" t="s">
        <v>91</v>
      </c>
      <c r="C1438" t="s">
        <v>75</v>
      </c>
      <c r="D1438" s="2">
        <v>53812415.270000003</v>
      </c>
      <c r="E1438" s="2">
        <v>11235576.449999999</v>
      </c>
      <c r="F1438" s="2">
        <v>12587315.48</v>
      </c>
      <c r="G1438" s="2">
        <v>1098092.94</v>
      </c>
    </row>
    <row r="1439" spans="1:7" x14ac:dyDescent="0.25">
      <c r="A1439" s="1">
        <v>45047</v>
      </c>
      <c r="B1439" t="s">
        <v>43</v>
      </c>
      <c r="C1439" t="s">
        <v>112</v>
      </c>
      <c r="D1439" s="2">
        <v>1230444.33</v>
      </c>
      <c r="E1439" s="2">
        <v>1657745.71</v>
      </c>
      <c r="F1439" s="2">
        <v>1548084.51</v>
      </c>
      <c r="G1439">
        <v>0</v>
      </c>
    </row>
    <row r="1440" spans="1:7" x14ac:dyDescent="0.25">
      <c r="A1440" s="1">
        <v>45047</v>
      </c>
      <c r="B1440" t="s">
        <v>91</v>
      </c>
      <c r="C1440" t="s">
        <v>109</v>
      </c>
      <c r="D1440" s="2">
        <v>112975427.20999999</v>
      </c>
      <c r="E1440" s="2">
        <v>126681830.38</v>
      </c>
      <c r="F1440" s="2">
        <v>124162210.94</v>
      </c>
      <c r="G1440" s="2">
        <v>11072976.550000001</v>
      </c>
    </row>
    <row r="1441" spans="1:7" x14ac:dyDescent="0.25">
      <c r="A1441" s="1">
        <v>45047</v>
      </c>
      <c r="B1441" t="s">
        <v>11</v>
      </c>
      <c r="C1441" t="s">
        <v>39</v>
      </c>
      <c r="D1441" s="2">
        <v>582499.21</v>
      </c>
      <c r="E1441" s="2">
        <v>687735.6</v>
      </c>
      <c r="F1441" s="2">
        <v>674133.08</v>
      </c>
      <c r="G1441" s="2">
        <v>460210.77</v>
      </c>
    </row>
    <row r="1442" spans="1:7" x14ac:dyDescent="0.25">
      <c r="A1442" s="1">
        <v>45047</v>
      </c>
      <c r="B1442" t="s">
        <v>23</v>
      </c>
      <c r="C1442" t="s">
        <v>14</v>
      </c>
      <c r="D1442" s="2">
        <v>24064827.239999998</v>
      </c>
      <c r="E1442" s="2">
        <v>15152171.550000001</v>
      </c>
      <c r="F1442" s="2">
        <v>16156614.59</v>
      </c>
      <c r="G1442" s="2">
        <v>6999944.4900000002</v>
      </c>
    </row>
    <row r="1443" spans="1:7" x14ac:dyDescent="0.25">
      <c r="A1443" s="1">
        <v>45047</v>
      </c>
      <c r="B1443" t="s">
        <v>37</v>
      </c>
      <c r="C1443" t="s">
        <v>72</v>
      </c>
      <c r="D1443" s="2">
        <v>3000</v>
      </c>
      <c r="E1443" s="2">
        <v>1885080.35</v>
      </c>
      <c r="F1443" s="2">
        <v>1719333.23</v>
      </c>
      <c r="G1443">
        <v>0</v>
      </c>
    </row>
    <row r="1444" spans="1:7" x14ac:dyDescent="0.25">
      <c r="A1444" s="1">
        <v>45047</v>
      </c>
      <c r="B1444" t="s">
        <v>52</v>
      </c>
      <c r="C1444" t="s">
        <v>46</v>
      </c>
      <c r="D1444">
        <v>0</v>
      </c>
      <c r="E1444">
        <v>0</v>
      </c>
      <c r="F1444">
        <v>0</v>
      </c>
      <c r="G1444" s="2">
        <v>465707660.25999999</v>
      </c>
    </row>
    <row r="1445" spans="1:7" x14ac:dyDescent="0.25">
      <c r="A1445" s="1">
        <v>45047</v>
      </c>
      <c r="B1445" t="s">
        <v>33</v>
      </c>
      <c r="C1445" t="s">
        <v>12</v>
      </c>
      <c r="D1445" s="2">
        <v>377953.06</v>
      </c>
      <c r="E1445" s="2">
        <v>206972.21</v>
      </c>
      <c r="F1445" s="2">
        <v>145080.95999999999</v>
      </c>
      <c r="G1445" s="2">
        <v>91481.29</v>
      </c>
    </row>
    <row r="1446" spans="1:7" x14ac:dyDescent="0.25">
      <c r="A1446" s="1">
        <v>45047</v>
      </c>
      <c r="B1446" t="s">
        <v>17</v>
      </c>
      <c r="C1446" t="s">
        <v>55</v>
      </c>
      <c r="D1446" s="2">
        <v>7215002.0099999998</v>
      </c>
      <c r="E1446" s="2">
        <v>278506.15999999997</v>
      </c>
      <c r="F1446" s="2">
        <v>278424.15000000002</v>
      </c>
      <c r="G1446" s="2">
        <v>167918.33</v>
      </c>
    </row>
    <row r="1447" spans="1:7" x14ac:dyDescent="0.25">
      <c r="A1447" s="1">
        <v>45047</v>
      </c>
      <c r="B1447" t="s">
        <v>43</v>
      </c>
      <c r="C1447" t="s">
        <v>122</v>
      </c>
      <c r="D1447" s="2">
        <v>926578.5</v>
      </c>
      <c r="E1447" s="2">
        <v>530945.23</v>
      </c>
      <c r="F1447" s="2">
        <v>484759.11</v>
      </c>
      <c r="G1447" s="2">
        <v>234279.66</v>
      </c>
    </row>
    <row r="1448" spans="1:7" x14ac:dyDescent="0.25">
      <c r="A1448" s="1">
        <v>45047</v>
      </c>
      <c r="B1448" t="s">
        <v>33</v>
      </c>
      <c r="C1448" t="s">
        <v>99</v>
      </c>
      <c r="D1448" s="2">
        <v>83589125.269999996</v>
      </c>
      <c r="E1448" s="2">
        <v>20458625.079999998</v>
      </c>
      <c r="F1448" s="2">
        <v>16178475.66</v>
      </c>
      <c r="G1448" s="2">
        <v>28798.82</v>
      </c>
    </row>
    <row r="1449" spans="1:7" x14ac:dyDescent="0.25">
      <c r="A1449" s="1">
        <v>45047</v>
      </c>
      <c r="B1449" t="s">
        <v>54</v>
      </c>
      <c r="C1449" t="s">
        <v>20</v>
      </c>
      <c r="D1449" s="2">
        <v>5010331.04</v>
      </c>
      <c r="E1449" s="2">
        <v>3335684.95</v>
      </c>
      <c r="F1449" s="2">
        <v>3328620.77</v>
      </c>
      <c r="G1449" s="2">
        <v>2084695.97</v>
      </c>
    </row>
    <row r="1450" spans="1:7" x14ac:dyDescent="0.25">
      <c r="A1450" s="1">
        <v>45047</v>
      </c>
      <c r="B1450" t="s">
        <v>23</v>
      </c>
      <c r="C1450" t="s">
        <v>59</v>
      </c>
      <c r="D1450" s="2">
        <v>-18295.12</v>
      </c>
      <c r="E1450">
        <v>0</v>
      </c>
      <c r="F1450">
        <v>0</v>
      </c>
      <c r="G1450" s="2">
        <v>12000</v>
      </c>
    </row>
    <row r="1451" spans="1:7" x14ac:dyDescent="0.25">
      <c r="A1451" s="1">
        <v>45047</v>
      </c>
      <c r="B1451" t="s">
        <v>43</v>
      </c>
      <c r="C1451" t="s">
        <v>12</v>
      </c>
      <c r="D1451" s="2">
        <v>159438.54</v>
      </c>
      <c r="E1451" s="2">
        <v>132580.35999999999</v>
      </c>
      <c r="F1451" s="2">
        <v>129430.5</v>
      </c>
      <c r="G1451" s="2">
        <v>1502.65</v>
      </c>
    </row>
    <row r="1452" spans="1:7" x14ac:dyDescent="0.25">
      <c r="A1452" s="1">
        <v>45047</v>
      </c>
      <c r="B1452" t="s">
        <v>37</v>
      </c>
      <c r="C1452" t="s">
        <v>24</v>
      </c>
      <c r="D1452" s="2">
        <v>32687898.16</v>
      </c>
      <c r="E1452" s="2">
        <v>10751027.109999999</v>
      </c>
      <c r="F1452" s="2">
        <v>10298502.199999999</v>
      </c>
      <c r="G1452" s="2">
        <v>15134228.9</v>
      </c>
    </row>
    <row r="1453" spans="1:7" x14ac:dyDescent="0.25">
      <c r="A1453" s="1">
        <v>45047</v>
      </c>
      <c r="B1453" t="s">
        <v>9</v>
      </c>
      <c r="C1453" t="s">
        <v>72</v>
      </c>
      <c r="D1453" s="2">
        <v>10338578.15</v>
      </c>
      <c r="E1453" s="2">
        <v>36135526.159999996</v>
      </c>
      <c r="F1453" s="2">
        <v>36459854.990000002</v>
      </c>
      <c r="G1453">
        <v>0</v>
      </c>
    </row>
    <row r="1454" spans="1:7" x14ac:dyDescent="0.25">
      <c r="A1454" s="1">
        <v>45047</v>
      </c>
      <c r="B1454" t="s">
        <v>54</v>
      </c>
      <c r="C1454" t="s">
        <v>34</v>
      </c>
      <c r="D1454" s="2">
        <v>204733.99</v>
      </c>
      <c r="E1454" s="2">
        <v>222112.8</v>
      </c>
      <c r="F1454" s="2">
        <v>737141.37</v>
      </c>
      <c r="G1454" s="2">
        <v>419223.36</v>
      </c>
    </row>
    <row r="1455" spans="1:7" x14ac:dyDescent="0.25">
      <c r="A1455" s="1">
        <v>45047</v>
      </c>
      <c r="B1455" t="s">
        <v>47</v>
      </c>
      <c r="C1455" t="s">
        <v>57</v>
      </c>
      <c r="D1455" s="2">
        <v>20964199.5</v>
      </c>
      <c r="E1455" s="2">
        <v>59173315.060000002</v>
      </c>
      <c r="F1455" s="2">
        <v>53192493.880000003</v>
      </c>
      <c r="G1455" s="2">
        <v>2155632.44</v>
      </c>
    </row>
    <row r="1456" spans="1:7" x14ac:dyDescent="0.25">
      <c r="A1456" s="1">
        <v>45047</v>
      </c>
      <c r="B1456" t="s">
        <v>43</v>
      </c>
      <c r="C1456" t="s">
        <v>66</v>
      </c>
      <c r="D1456" s="2">
        <v>92162.95</v>
      </c>
      <c r="E1456" s="2">
        <v>150330.82999999999</v>
      </c>
      <c r="F1456" s="2">
        <v>126034.29</v>
      </c>
      <c r="G1456" s="2">
        <v>182380.94</v>
      </c>
    </row>
    <row r="1457" spans="1:7" x14ac:dyDescent="0.25">
      <c r="A1457" s="1">
        <v>45047</v>
      </c>
      <c r="B1457" t="s">
        <v>9</v>
      </c>
      <c r="C1457" t="s">
        <v>106</v>
      </c>
      <c r="D1457" s="2">
        <v>17522390.68</v>
      </c>
      <c r="E1457" s="2">
        <v>3090912.86</v>
      </c>
      <c r="F1457" s="2">
        <v>3105894.91</v>
      </c>
      <c r="G1457" s="2">
        <v>9701712.25</v>
      </c>
    </row>
    <row r="1458" spans="1:7" x14ac:dyDescent="0.25">
      <c r="A1458" s="1">
        <v>45047</v>
      </c>
      <c r="B1458" t="s">
        <v>54</v>
      </c>
      <c r="C1458" t="s">
        <v>71</v>
      </c>
      <c r="D1458" s="2">
        <v>2069584.62</v>
      </c>
      <c r="E1458" s="2">
        <v>958928.16</v>
      </c>
      <c r="F1458" s="2">
        <v>833079.12</v>
      </c>
      <c r="G1458" s="2">
        <v>1369397.92</v>
      </c>
    </row>
    <row r="1459" spans="1:7" x14ac:dyDescent="0.25">
      <c r="A1459" s="1">
        <v>45047</v>
      </c>
      <c r="B1459" t="s">
        <v>33</v>
      </c>
      <c r="C1459" t="s">
        <v>119</v>
      </c>
      <c r="D1459" s="2">
        <v>12488681.199999999</v>
      </c>
      <c r="E1459" s="2">
        <v>4539611.28</v>
      </c>
      <c r="F1459" s="2">
        <v>4514286.95</v>
      </c>
      <c r="G1459" s="2">
        <v>239207.07</v>
      </c>
    </row>
    <row r="1460" spans="1:7" x14ac:dyDescent="0.25">
      <c r="A1460" s="1">
        <v>45047</v>
      </c>
      <c r="B1460" t="s">
        <v>87</v>
      </c>
      <c r="C1460" t="s">
        <v>77</v>
      </c>
      <c r="D1460" s="2">
        <v>560307934.69000006</v>
      </c>
      <c r="E1460" s="2">
        <v>20276.990000000002</v>
      </c>
      <c r="F1460" s="2">
        <v>15791.17</v>
      </c>
      <c r="G1460" s="2">
        <v>43927022</v>
      </c>
    </row>
    <row r="1461" spans="1:7" x14ac:dyDescent="0.25">
      <c r="A1461" s="1">
        <v>45047</v>
      </c>
      <c r="B1461" t="s">
        <v>52</v>
      </c>
      <c r="C1461" t="s">
        <v>118</v>
      </c>
      <c r="D1461" s="2">
        <v>62094738.859999999</v>
      </c>
      <c r="E1461" s="2">
        <v>19579831.850000001</v>
      </c>
      <c r="F1461" s="2">
        <v>19882010.559999999</v>
      </c>
      <c r="G1461" s="2">
        <v>9473536.3599999994</v>
      </c>
    </row>
    <row r="1462" spans="1:7" x14ac:dyDescent="0.25">
      <c r="A1462" s="1">
        <v>45047</v>
      </c>
      <c r="B1462" t="s">
        <v>54</v>
      </c>
      <c r="C1462" t="s">
        <v>55</v>
      </c>
      <c r="D1462" s="2">
        <v>347705.92</v>
      </c>
      <c r="E1462" s="2">
        <v>17982.93</v>
      </c>
      <c r="F1462" s="2">
        <v>17982.93</v>
      </c>
      <c r="G1462" s="2">
        <v>8823.65</v>
      </c>
    </row>
    <row r="1463" spans="1:7" x14ac:dyDescent="0.25">
      <c r="A1463" s="1">
        <v>45047</v>
      </c>
      <c r="B1463" t="s">
        <v>54</v>
      </c>
      <c r="C1463" t="s">
        <v>117</v>
      </c>
      <c r="D1463" s="2">
        <v>90654075.980000004</v>
      </c>
      <c r="E1463" s="2">
        <v>50023397.380000003</v>
      </c>
      <c r="F1463" s="2">
        <v>44993618.530000001</v>
      </c>
      <c r="G1463">
        <v>0</v>
      </c>
    </row>
    <row r="1464" spans="1:7" x14ac:dyDescent="0.25">
      <c r="A1464" s="1">
        <v>45047</v>
      </c>
      <c r="B1464" t="s">
        <v>23</v>
      </c>
      <c r="C1464" t="s">
        <v>121</v>
      </c>
      <c r="D1464" s="2">
        <v>4320422.62</v>
      </c>
      <c r="E1464" s="2">
        <v>3626785.12</v>
      </c>
      <c r="F1464" s="2">
        <v>2827363.28</v>
      </c>
      <c r="G1464" s="2">
        <v>728247.99</v>
      </c>
    </row>
    <row r="1465" spans="1:7" x14ac:dyDescent="0.25">
      <c r="A1465" s="1">
        <v>45047</v>
      </c>
      <c r="B1465" t="s">
        <v>11</v>
      </c>
      <c r="C1465" t="s">
        <v>72</v>
      </c>
      <c r="D1465" s="2">
        <v>46288449.119999997</v>
      </c>
      <c r="E1465" s="2">
        <v>65632109.539999999</v>
      </c>
      <c r="F1465" s="2">
        <v>65617078.969999999</v>
      </c>
      <c r="G1465">
        <v>0</v>
      </c>
    </row>
    <row r="1466" spans="1:7" x14ac:dyDescent="0.25">
      <c r="A1466" s="1">
        <v>45047</v>
      </c>
      <c r="B1466" t="s">
        <v>104</v>
      </c>
      <c r="C1466" t="s">
        <v>108</v>
      </c>
      <c r="D1466" s="2">
        <v>63818493.75</v>
      </c>
      <c r="E1466" s="2">
        <v>13653897.960000001</v>
      </c>
      <c r="F1466" s="2">
        <v>13615580.140000001</v>
      </c>
      <c r="G1466" s="2">
        <v>9417633.1300000008</v>
      </c>
    </row>
    <row r="1467" spans="1:7" x14ac:dyDescent="0.25">
      <c r="A1467" s="1">
        <v>45047</v>
      </c>
      <c r="B1467" t="s">
        <v>17</v>
      </c>
      <c r="C1467" t="s">
        <v>40</v>
      </c>
      <c r="D1467" s="2">
        <v>721915733.26999998</v>
      </c>
      <c r="E1467" s="2">
        <v>734769923.87</v>
      </c>
      <c r="F1467" s="2">
        <v>505885334.23000002</v>
      </c>
      <c r="G1467" s="2">
        <v>487666166.63999999</v>
      </c>
    </row>
    <row r="1468" spans="1:7" x14ac:dyDescent="0.25">
      <c r="A1468" s="1">
        <v>45047</v>
      </c>
      <c r="B1468" t="s">
        <v>23</v>
      </c>
      <c r="C1468" t="s">
        <v>110</v>
      </c>
      <c r="D1468" s="2">
        <v>1092626193.0899999</v>
      </c>
      <c r="E1468" s="2">
        <v>1099737830</v>
      </c>
      <c r="F1468" s="2">
        <v>1018159868.52</v>
      </c>
      <c r="G1468" s="2">
        <v>431366229.79000002</v>
      </c>
    </row>
    <row r="1469" spans="1:7" x14ac:dyDescent="0.25">
      <c r="A1469" s="1">
        <v>45047</v>
      </c>
      <c r="B1469" t="s">
        <v>28</v>
      </c>
      <c r="C1469" t="s">
        <v>72</v>
      </c>
      <c r="D1469" s="2">
        <v>27269874.109999999</v>
      </c>
      <c r="E1469" s="2">
        <v>21592179.41</v>
      </c>
      <c r="F1469" s="2">
        <v>22352856.129999999</v>
      </c>
      <c r="G1469">
        <v>0</v>
      </c>
    </row>
    <row r="1470" spans="1:7" x14ac:dyDescent="0.25">
      <c r="A1470" s="1">
        <v>45047</v>
      </c>
      <c r="B1470" t="s">
        <v>17</v>
      </c>
      <c r="C1470" t="s">
        <v>126</v>
      </c>
      <c r="D1470" s="2">
        <v>19898848.309999999</v>
      </c>
      <c r="E1470" s="2">
        <v>8135780.96</v>
      </c>
      <c r="F1470" s="2">
        <v>6841578.3099999996</v>
      </c>
      <c r="G1470" s="2">
        <v>2569150.66</v>
      </c>
    </row>
    <row r="1471" spans="1:7" x14ac:dyDescent="0.25">
      <c r="A1471" s="1">
        <v>45047</v>
      </c>
      <c r="B1471" t="s">
        <v>7</v>
      </c>
      <c r="C1471" t="s">
        <v>57</v>
      </c>
      <c r="D1471" s="2">
        <v>97903100.739999995</v>
      </c>
      <c r="E1471" s="2">
        <v>90736733.209999993</v>
      </c>
      <c r="F1471" s="2">
        <v>79368319.930000007</v>
      </c>
      <c r="G1471" s="2">
        <v>7347290.9400000004</v>
      </c>
    </row>
    <row r="1472" spans="1:7" x14ac:dyDescent="0.25">
      <c r="A1472" s="1">
        <v>45047</v>
      </c>
      <c r="B1472" t="s">
        <v>15</v>
      </c>
      <c r="C1472" t="s">
        <v>57</v>
      </c>
      <c r="D1472" s="2">
        <v>30620853.82</v>
      </c>
      <c r="E1472" s="2">
        <v>57634412.509999998</v>
      </c>
      <c r="F1472" s="2">
        <v>48443352.57</v>
      </c>
      <c r="G1472" s="2">
        <v>545021.53</v>
      </c>
    </row>
    <row r="1473" spans="1:7" x14ac:dyDescent="0.25">
      <c r="A1473" s="1">
        <v>45047</v>
      </c>
      <c r="B1473" t="s">
        <v>7</v>
      </c>
      <c r="C1473" t="s">
        <v>123</v>
      </c>
      <c r="D1473" s="2">
        <v>3002637.41</v>
      </c>
      <c r="E1473" s="2">
        <v>2463407.4900000002</v>
      </c>
      <c r="F1473" s="2">
        <v>2223028.58</v>
      </c>
      <c r="G1473" s="2">
        <v>398258.43</v>
      </c>
    </row>
    <row r="1474" spans="1:7" x14ac:dyDescent="0.25">
      <c r="A1474" s="1">
        <v>45047</v>
      </c>
      <c r="B1474" t="s">
        <v>23</v>
      </c>
      <c r="C1474" t="s">
        <v>72</v>
      </c>
      <c r="D1474" s="2">
        <v>7451738.04</v>
      </c>
      <c r="E1474" s="2">
        <v>61820843.469999999</v>
      </c>
      <c r="F1474" s="2">
        <v>61703713.729999997</v>
      </c>
      <c r="G1474">
        <v>0</v>
      </c>
    </row>
    <row r="1475" spans="1:7" x14ac:dyDescent="0.25">
      <c r="A1475" s="1">
        <v>45047</v>
      </c>
      <c r="B1475" t="s">
        <v>69</v>
      </c>
      <c r="C1475" t="s">
        <v>57</v>
      </c>
      <c r="D1475" s="2">
        <v>148466517.71000001</v>
      </c>
      <c r="E1475" s="2">
        <v>97851672.379999995</v>
      </c>
      <c r="F1475" s="2">
        <v>97547792.359999999</v>
      </c>
      <c r="G1475" s="2">
        <v>2836321.15</v>
      </c>
    </row>
    <row r="1476" spans="1:7" x14ac:dyDescent="0.25">
      <c r="A1476" s="1">
        <v>45047</v>
      </c>
      <c r="B1476" t="s">
        <v>28</v>
      </c>
      <c r="C1476" t="s">
        <v>125</v>
      </c>
      <c r="D1476" s="2">
        <v>3824064719.52</v>
      </c>
      <c r="E1476" s="2">
        <v>8026672363.7299995</v>
      </c>
      <c r="F1476" s="2">
        <v>7386016884.9300003</v>
      </c>
      <c r="G1476" s="2">
        <v>34234.269999999997</v>
      </c>
    </row>
    <row r="1477" spans="1:7" x14ac:dyDescent="0.25">
      <c r="A1477" s="1">
        <v>45047</v>
      </c>
      <c r="B1477" t="s">
        <v>91</v>
      </c>
      <c r="C1477" t="s">
        <v>57</v>
      </c>
      <c r="D1477" s="2">
        <v>122799098.88</v>
      </c>
      <c r="E1477" s="2">
        <v>160924328.59</v>
      </c>
      <c r="F1477" s="2">
        <v>148764330.53</v>
      </c>
      <c r="G1477" s="2">
        <v>10525044.539999999</v>
      </c>
    </row>
    <row r="1478" spans="1:7" x14ac:dyDescent="0.25">
      <c r="A1478" s="1">
        <v>45047</v>
      </c>
      <c r="B1478" t="s">
        <v>47</v>
      </c>
      <c r="C1478" t="s">
        <v>72</v>
      </c>
      <c r="D1478" s="2">
        <v>56306.63</v>
      </c>
      <c r="E1478" s="2">
        <v>2017181.57</v>
      </c>
      <c r="F1478" s="2">
        <v>2451960.1800000002</v>
      </c>
      <c r="G1478">
        <v>0</v>
      </c>
    </row>
    <row r="1479" spans="1:7" x14ac:dyDescent="0.25">
      <c r="A1479" s="1">
        <v>45047</v>
      </c>
      <c r="B1479" t="s">
        <v>52</v>
      </c>
      <c r="C1479" t="s">
        <v>101</v>
      </c>
      <c r="D1479">
        <v>0</v>
      </c>
      <c r="E1479">
        <v>0</v>
      </c>
      <c r="F1479">
        <v>0</v>
      </c>
      <c r="G1479" s="2">
        <v>492738533.69</v>
      </c>
    </row>
    <row r="1480" spans="1:7" x14ac:dyDescent="0.25">
      <c r="A1480" s="1">
        <v>45047</v>
      </c>
      <c r="B1480" t="s">
        <v>54</v>
      </c>
      <c r="C1480" t="s">
        <v>74</v>
      </c>
      <c r="D1480">
        <v>0</v>
      </c>
      <c r="E1480" s="2">
        <v>2258.15</v>
      </c>
      <c r="F1480">
        <v>0</v>
      </c>
      <c r="G1480" s="2">
        <v>154974.96</v>
      </c>
    </row>
    <row r="1481" spans="1:7" x14ac:dyDescent="0.25">
      <c r="A1481" s="1">
        <v>45047</v>
      </c>
      <c r="B1481" t="s">
        <v>54</v>
      </c>
      <c r="C1481" t="s">
        <v>95</v>
      </c>
      <c r="D1481" s="2">
        <v>4947849.3</v>
      </c>
      <c r="E1481" s="2">
        <v>1791009.61</v>
      </c>
      <c r="F1481" s="2">
        <v>1690093.51</v>
      </c>
      <c r="G1481" s="2">
        <v>352989.23</v>
      </c>
    </row>
    <row r="1482" spans="1:7" x14ac:dyDescent="0.25">
      <c r="A1482" s="1">
        <v>45047</v>
      </c>
      <c r="B1482" t="s">
        <v>28</v>
      </c>
      <c r="C1482" t="s">
        <v>22</v>
      </c>
      <c r="D1482" s="2">
        <v>98427080.599999994</v>
      </c>
      <c r="E1482" s="2">
        <v>46316227</v>
      </c>
      <c r="F1482" s="2">
        <v>46312809.880000003</v>
      </c>
      <c r="G1482">
        <v>0</v>
      </c>
    </row>
    <row r="1483" spans="1:7" x14ac:dyDescent="0.25">
      <c r="A1483" s="1">
        <v>45047</v>
      </c>
      <c r="B1483" t="s">
        <v>91</v>
      </c>
      <c r="C1483" t="s">
        <v>79</v>
      </c>
      <c r="D1483" s="2">
        <v>85166300.010000005</v>
      </c>
      <c r="E1483" s="2">
        <v>3370111.05</v>
      </c>
      <c r="F1483" s="2">
        <v>1512010.41</v>
      </c>
      <c r="G1483" s="2">
        <v>13659390.939999999</v>
      </c>
    </row>
    <row r="1484" spans="1:7" x14ac:dyDescent="0.25">
      <c r="A1484" s="1">
        <v>45047</v>
      </c>
      <c r="B1484" t="s">
        <v>26</v>
      </c>
      <c r="C1484" t="s">
        <v>57</v>
      </c>
      <c r="D1484" s="2">
        <v>57665317.789999999</v>
      </c>
      <c r="E1484" s="2">
        <v>111162856.02</v>
      </c>
      <c r="F1484" s="2">
        <v>94578602.870000005</v>
      </c>
      <c r="G1484" s="2">
        <v>3850361.69</v>
      </c>
    </row>
    <row r="1485" spans="1:7" x14ac:dyDescent="0.25">
      <c r="A1485" s="1">
        <v>45047</v>
      </c>
      <c r="B1485" t="s">
        <v>17</v>
      </c>
      <c r="C1485" t="s">
        <v>113</v>
      </c>
      <c r="D1485" s="2">
        <v>37057161.829999998</v>
      </c>
      <c r="E1485" s="2">
        <v>336109142.77999997</v>
      </c>
      <c r="F1485" s="2">
        <v>335031298.06999999</v>
      </c>
      <c r="G1485" s="2">
        <v>41135699.009999998</v>
      </c>
    </row>
    <row r="1486" spans="1:7" x14ac:dyDescent="0.25">
      <c r="A1486" s="1">
        <v>45047</v>
      </c>
      <c r="B1486" t="s">
        <v>26</v>
      </c>
      <c r="C1486" t="s">
        <v>18</v>
      </c>
      <c r="D1486" s="2">
        <v>3027331.5</v>
      </c>
      <c r="E1486" s="2">
        <v>1042795.36</v>
      </c>
      <c r="F1486" s="2">
        <v>1049648.4099999999</v>
      </c>
      <c r="G1486" s="2">
        <v>15515304.890000001</v>
      </c>
    </row>
    <row r="1487" spans="1:7" x14ac:dyDescent="0.25">
      <c r="A1487" s="1">
        <v>45047</v>
      </c>
      <c r="B1487" t="s">
        <v>33</v>
      </c>
      <c r="C1487" t="s">
        <v>75</v>
      </c>
      <c r="D1487" s="2">
        <v>170854082.03</v>
      </c>
      <c r="E1487" s="2">
        <v>27675299.010000002</v>
      </c>
      <c r="F1487" s="2">
        <v>24069505.710000001</v>
      </c>
      <c r="G1487" s="2">
        <v>23046382.59</v>
      </c>
    </row>
    <row r="1488" spans="1:7" x14ac:dyDescent="0.25">
      <c r="A1488" s="1">
        <v>45047</v>
      </c>
      <c r="B1488" t="s">
        <v>23</v>
      </c>
      <c r="C1488" t="s">
        <v>115</v>
      </c>
      <c r="D1488" s="2">
        <v>591790611.38</v>
      </c>
      <c r="E1488" s="2">
        <v>869708591.69000006</v>
      </c>
      <c r="F1488" s="2">
        <v>1046432723.92</v>
      </c>
      <c r="G1488" s="2">
        <v>513203595.02999997</v>
      </c>
    </row>
    <row r="1489" spans="1:7" x14ac:dyDescent="0.25">
      <c r="A1489" s="1">
        <v>45047</v>
      </c>
      <c r="B1489" t="s">
        <v>69</v>
      </c>
      <c r="C1489" t="s">
        <v>122</v>
      </c>
      <c r="D1489" s="2">
        <v>214636758.31</v>
      </c>
      <c r="E1489" s="2">
        <v>90226016.019999996</v>
      </c>
      <c r="F1489" s="2">
        <v>70431419.019999996</v>
      </c>
      <c r="G1489" s="2">
        <v>109872995.78</v>
      </c>
    </row>
    <row r="1490" spans="1:7" x14ac:dyDescent="0.25">
      <c r="A1490" s="1">
        <v>45047</v>
      </c>
      <c r="B1490" t="s">
        <v>31</v>
      </c>
      <c r="C1490" t="s">
        <v>22</v>
      </c>
      <c r="D1490" s="2">
        <v>1759973704.1099999</v>
      </c>
      <c r="E1490" s="2">
        <v>4787010290.4899998</v>
      </c>
      <c r="F1490" s="2">
        <v>4741512175.8699999</v>
      </c>
      <c r="G1490" s="2">
        <v>251926918.12</v>
      </c>
    </row>
    <row r="1491" spans="1:7" x14ac:dyDescent="0.25">
      <c r="A1491" s="1">
        <v>45047</v>
      </c>
      <c r="B1491" t="s">
        <v>33</v>
      </c>
      <c r="C1491" t="s">
        <v>72</v>
      </c>
      <c r="D1491" s="2">
        <v>102960959.59</v>
      </c>
      <c r="E1491" s="2">
        <v>88659461.170000002</v>
      </c>
      <c r="F1491" s="2">
        <v>86433944.359999999</v>
      </c>
      <c r="G1491">
        <v>0</v>
      </c>
    </row>
    <row r="1492" spans="1:7" x14ac:dyDescent="0.25">
      <c r="A1492" s="1">
        <v>45047</v>
      </c>
      <c r="B1492" t="s">
        <v>7</v>
      </c>
      <c r="C1492" t="s">
        <v>72</v>
      </c>
      <c r="D1492" s="2">
        <v>69390651.420000002</v>
      </c>
      <c r="E1492" s="2">
        <v>301177810.82999998</v>
      </c>
      <c r="F1492" s="2">
        <v>301795457.18000001</v>
      </c>
      <c r="G1492">
        <v>0</v>
      </c>
    </row>
    <row r="1493" spans="1:7" x14ac:dyDescent="0.25">
      <c r="A1493" s="1">
        <v>45047</v>
      </c>
      <c r="B1493" t="s">
        <v>7</v>
      </c>
      <c r="C1493" t="s">
        <v>130</v>
      </c>
      <c r="D1493" s="2">
        <v>13496526.66</v>
      </c>
      <c r="E1493" s="2">
        <v>36143375.590000004</v>
      </c>
      <c r="F1493" s="2">
        <v>41764391.25</v>
      </c>
      <c r="G1493" s="2">
        <v>6622210.6799999997</v>
      </c>
    </row>
    <row r="1494" spans="1:7" x14ac:dyDescent="0.25">
      <c r="A1494" s="1">
        <v>45047</v>
      </c>
      <c r="B1494" t="s">
        <v>13</v>
      </c>
      <c r="C1494" t="s">
        <v>67</v>
      </c>
      <c r="D1494" s="2">
        <v>137116764.12</v>
      </c>
      <c r="E1494" s="2">
        <v>14054205.27</v>
      </c>
      <c r="F1494" s="2">
        <v>8093587.1399999997</v>
      </c>
      <c r="G1494" s="2">
        <v>7068468.5300000003</v>
      </c>
    </row>
    <row r="1495" spans="1:7" x14ac:dyDescent="0.25">
      <c r="A1495" s="1">
        <v>45047</v>
      </c>
      <c r="B1495" t="s">
        <v>54</v>
      </c>
      <c r="C1495" t="s">
        <v>10</v>
      </c>
      <c r="D1495" s="2">
        <v>33742564.240000002</v>
      </c>
      <c r="E1495" s="2">
        <v>11091795.710000001</v>
      </c>
      <c r="F1495" s="2">
        <v>10788172.26</v>
      </c>
      <c r="G1495" s="2">
        <v>16574586.390000001</v>
      </c>
    </row>
    <row r="1496" spans="1:7" x14ac:dyDescent="0.25">
      <c r="A1496" s="1">
        <v>45047</v>
      </c>
      <c r="B1496" t="s">
        <v>7</v>
      </c>
      <c r="C1496" t="s">
        <v>58</v>
      </c>
      <c r="D1496" s="2">
        <v>64685659.090000004</v>
      </c>
      <c r="E1496" s="2">
        <v>546382149.19000006</v>
      </c>
      <c r="F1496" s="2">
        <v>546240677.16999996</v>
      </c>
      <c r="G1496" s="2">
        <v>3262834.98</v>
      </c>
    </row>
    <row r="1497" spans="1:7" x14ac:dyDescent="0.25">
      <c r="A1497" s="1">
        <v>45047</v>
      </c>
      <c r="B1497" t="s">
        <v>69</v>
      </c>
      <c r="C1497" t="s">
        <v>59</v>
      </c>
      <c r="D1497" s="2">
        <v>26090218.899999999</v>
      </c>
      <c r="E1497" s="2">
        <v>12694184.359999999</v>
      </c>
      <c r="F1497" s="2">
        <v>13235889.939999999</v>
      </c>
      <c r="G1497" s="2">
        <v>3007032.53</v>
      </c>
    </row>
    <row r="1498" spans="1:7" x14ac:dyDescent="0.25">
      <c r="A1498" s="1">
        <v>45047</v>
      </c>
      <c r="B1498" t="s">
        <v>23</v>
      </c>
      <c r="C1498" t="s">
        <v>117</v>
      </c>
      <c r="D1498" s="2">
        <v>88029215.480000004</v>
      </c>
      <c r="E1498" s="2">
        <v>242805257.56999999</v>
      </c>
      <c r="F1498" s="2">
        <v>238127150.69</v>
      </c>
      <c r="G1498" s="2">
        <v>3208914.12</v>
      </c>
    </row>
    <row r="1499" spans="1:7" x14ac:dyDescent="0.25">
      <c r="A1499" s="1">
        <v>45047</v>
      </c>
      <c r="B1499" t="s">
        <v>104</v>
      </c>
      <c r="C1499" t="s">
        <v>74</v>
      </c>
      <c r="D1499" s="2">
        <v>37132638</v>
      </c>
      <c r="E1499">
        <v>0</v>
      </c>
      <c r="F1499">
        <v>0</v>
      </c>
      <c r="G1499" s="2">
        <v>47713136.899999999</v>
      </c>
    </row>
    <row r="1500" spans="1:7" x14ac:dyDescent="0.25">
      <c r="A1500" s="1">
        <v>45047</v>
      </c>
      <c r="B1500" t="s">
        <v>13</v>
      </c>
      <c r="C1500" t="s">
        <v>34</v>
      </c>
      <c r="D1500" s="2">
        <v>125047308.23</v>
      </c>
      <c r="E1500" s="2">
        <v>112480238.33</v>
      </c>
      <c r="F1500" s="2">
        <v>109338092.06999999</v>
      </c>
      <c r="G1500" s="2">
        <v>33233083.030000001</v>
      </c>
    </row>
    <row r="1501" spans="1:7" x14ac:dyDescent="0.25">
      <c r="A1501" s="1">
        <v>45047</v>
      </c>
      <c r="B1501" t="s">
        <v>36</v>
      </c>
      <c r="C1501" t="s">
        <v>101</v>
      </c>
      <c r="D1501" s="2">
        <v>526857674.75999999</v>
      </c>
      <c r="E1501" s="2">
        <v>14385860704.99</v>
      </c>
      <c r="F1501" s="2">
        <v>14385427115.57</v>
      </c>
      <c r="G1501" s="2">
        <v>15082376.460000001</v>
      </c>
    </row>
    <row r="1502" spans="1:7" x14ac:dyDescent="0.25">
      <c r="A1502" s="1">
        <v>45047</v>
      </c>
      <c r="B1502" t="s">
        <v>17</v>
      </c>
      <c r="C1502" t="s">
        <v>93</v>
      </c>
      <c r="D1502" s="2">
        <v>5387892.5899999999</v>
      </c>
      <c r="E1502" s="2">
        <v>617151.5</v>
      </c>
      <c r="F1502" s="2">
        <v>634036.38</v>
      </c>
      <c r="G1502" s="2">
        <v>3486193.34</v>
      </c>
    </row>
    <row r="1503" spans="1:7" x14ac:dyDescent="0.25">
      <c r="A1503" s="1">
        <v>45047</v>
      </c>
      <c r="B1503" t="s">
        <v>69</v>
      </c>
      <c r="C1503" t="s">
        <v>20</v>
      </c>
      <c r="D1503" s="2">
        <v>7286284.3799999999</v>
      </c>
      <c r="E1503" s="2">
        <v>3963457.73</v>
      </c>
      <c r="F1503" s="2">
        <v>3879823.54</v>
      </c>
      <c r="G1503" s="2">
        <v>3806341.52</v>
      </c>
    </row>
    <row r="1504" spans="1:7" x14ac:dyDescent="0.25">
      <c r="A1504" s="1">
        <v>45047</v>
      </c>
      <c r="B1504" t="s">
        <v>23</v>
      </c>
      <c r="C1504" t="s">
        <v>12</v>
      </c>
      <c r="D1504" s="2">
        <v>40037855.210000001</v>
      </c>
      <c r="E1504" s="2">
        <v>147331716.96000001</v>
      </c>
      <c r="F1504" s="2">
        <v>157640044.69999999</v>
      </c>
      <c r="G1504" s="2">
        <v>3670043.19</v>
      </c>
    </row>
    <row r="1505" spans="1:7" x14ac:dyDescent="0.25">
      <c r="A1505" s="1">
        <v>45047</v>
      </c>
      <c r="B1505" t="s">
        <v>13</v>
      </c>
      <c r="C1505" t="s">
        <v>57</v>
      </c>
      <c r="D1505" s="2">
        <v>65053809.359999999</v>
      </c>
      <c r="E1505" s="2">
        <v>118703342.76000001</v>
      </c>
      <c r="F1505" s="2">
        <v>111244659.84</v>
      </c>
      <c r="G1505" s="2">
        <v>7073138.0499999998</v>
      </c>
    </row>
    <row r="1506" spans="1:7" x14ac:dyDescent="0.25">
      <c r="A1506" s="1">
        <v>45047</v>
      </c>
      <c r="B1506" t="s">
        <v>54</v>
      </c>
      <c r="C1506" t="s">
        <v>68</v>
      </c>
      <c r="D1506" s="2">
        <v>10350757.42</v>
      </c>
      <c r="E1506" s="2">
        <v>1633200.92</v>
      </c>
      <c r="F1506" s="2">
        <v>1307724.1100000001</v>
      </c>
      <c r="G1506" s="2">
        <v>2290384.17</v>
      </c>
    </row>
    <row r="1507" spans="1:7" x14ac:dyDescent="0.25">
      <c r="A1507" s="1">
        <v>45047</v>
      </c>
      <c r="B1507" t="s">
        <v>13</v>
      </c>
      <c r="C1507" t="s">
        <v>103</v>
      </c>
      <c r="D1507" s="2">
        <v>370580538.88999999</v>
      </c>
      <c r="E1507" s="2">
        <v>178109364.72</v>
      </c>
      <c r="F1507" s="2">
        <v>160199794.93000001</v>
      </c>
      <c r="G1507" s="2">
        <v>59754867.140000001</v>
      </c>
    </row>
    <row r="1508" spans="1:7" x14ac:dyDescent="0.25">
      <c r="A1508" s="1">
        <v>45047</v>
      </c>
      <c r="B1508" t="s">
        <v>43</v>
      </c>
      <c r="C1508" t="s">
        <v>57</v>
      </c>
      <c r="D1508" s="2">
        <v>63678159.359999999</v>
      </c>
      <c r="E1508" s="2">
        <v>99945912.349999994</v>
      </c>
      <c r="F1508" s="2">
        <v>82637599.870000005</v>
      </c>
      <c r="G1508" s="2">
        <v>1419184.87</v>
      </c>
    </row>
    <row r="1509" spans="1:7" x14ac:dyDescent="0.25">
      <c r="A1509" s="1">
        <v>45047</v>
      </c>
      <c r="B1509" t="s">
        <v>91</v>
      </c>
      <c r="C1509" t="s">
        <v>114</v>
      </c>
      <c r="D1509" s="2">
        <v>1753939335.96</v>
      </c>
      <c r="E1509" s="2">
        <v>549492157.34000003</v>
      </c>
      <c r="F1509" s="2">
        <v>536597711.48000002</v>
      </c>
      <c r="G1509" s="2">
        <v>517122909.06999999</v>
      </c>
    </row>
    <row r="1510" spans="1:7" x14ac:dyDescent="0.25">
      <c r="A1510" s="1">
        <v>45047</v>
      </c>
      <c r="B1510" t="s">
        <v>65</v>
      </c>
      <c r="C1510" t="s">
        <v>75</v>
      </c>
      <c r="D1510" s="2">
        <v>17673147.27</v>
      </c>
      <c r="E1510" s="2">
        <v>2551458.1800000002</v>
      </c>
      <c r="F1510" s="2">
        <v>2451840.81</v>
      </c>
      <c r="G1510" s="2">
        <v>2923961.57</v>
      </c>
    </row>
    <row r="1511" spans="1:7" x14ac:dyDescent="0.25">
      <c r="A1511" s="1">
        <v>45047</v>
      </c>
      <c r="B1511" t="s">
        <v>54</v>
      </c>
      <c r="C1511" t="s">
        <v>120</v>
      </c>
      <c r="D1511" s="2">
        <v>370645499.12</v>
      </c>
      <c r="E1511" s="2">
        <v>115632096.84</v>
      </c>
      <c r="F1511" s="2">
        <v>117994567.41</v>
      </c>
      <c r="G1511" s="2">
        <v>58228421.710000001</v>
      </c>
    </row>
    <row r="1512" spans="1:7" x14ac:dyDescent="0.25">
      <c r="A1512" s="1">
        <v>45047</v>
      </c>
      <c r="B1512" t="s">
        <v>62</v>
      </c>
      <c r="C1512" t="s">
        <v>107</v>
      </c>
      <c r="D1512" s="2">
        <v>18008342.32</v>
      </c>
      <c r="E1512" s="2">
        <v>15072796.289999999</v>
      </c>
      <c r="F1512" s="2">
        <v>15014024.18</v>
      </c>
      <c r="G1512" s="2">
        <v>23538432.940000001</v>
      </c>
    </row>
    <row r="1513" spans="1:7" x14ac:dyDescent="0.25">
      <c r="A1513" s="1">
        <v>45047</v>
      </c>
      <c r="B1513" t="s">
        <v>47</v>
      </c>
      <c r="C1513" t="s">
        <v>75</v>
      </c>
      <c r="D1513" s="2">
        <v>2488939.2999999998</v>
      </c>
      <c r="E1513" s="2">
        <v>1571837.32</v>
      </c>
      <c r="F1513" s="2">
        <v>1562124.17</v>
      </c>
      <c r="G1513" s="2">
        <v>1653891.13</v>
      </c>
    </row>
    <row r="1514" spans="1:7" x14ac:dyDescent="0.25">
      <c r="A1514" s="1">
        <v>45047</v>
      </c>
      <c r="B1514" t="s">
        <v>54</v>
      </c>
      <c r="C1514" t="s">
        <v>116</v>
      </c>
      <c r="D1514" s="2">
        <v>890537087.25999999</v>
      </c>
      <c r="E1514" s="2">
        <v>219760389.34999999</v>
      </c>
      <c r="F1514" s="2">
        <v>185176926.28999999</v>
      </c>
      <c r="G1514" s="2">
        <v>260670778.09</v>
      </c>
    </row>
    <row r="1515" spans="1:7" x14ac:dyDescent="0.25">
      <c r="A1515" s="1">
        <v>45047</v>
      </c>
      <c r="B1515" t="s">
        <v>54</v>
      </c>
      <c r="C1515" t="s">
        <v>119</v>
      </c>
      <c r="D1515" s="2">
        <v>935985.75</v>
      </c>
      <c r="E1515" s="2">
        <v>813057.67</v>
      </c>
      <c r="F1515" s="2">
        <v>810670.01</v>
      </c>
      <c r="G1515" s="2">
        <v>300975.5</v>
      </c>
    </row>
    <row r="1516" spans="1:7" x14ac:dyDescent="0.25">
      <c r="A1516" s="1">
        <v>45047</v>
      </c>
      <c r="B1516" t="s">
        <v>7</v>
      </c>
      <c r="C1516" t="s">
        <v>95</v>
      </c>
      <c r="D1516" s="2">
        <v>220204645.12</v>
      </c>
      <c r="E1516" s="2">
        <v>261919725.41</v>
      </c>
      <c r="F1516" s="2">
        <v>327809519.93000001</v>
      </c>
      <c r="G1516" s="2">
        <v>341827712.08999997</v>
      </c>
    </row>
    <row r="1517" spans="1:7" x14ac:dyDescent="0.25">
      <c r="A1517" s="1">
        <v>45047</v>
      </c>
      <c r="B1517" t="s">
        <v>28</v>
      </c>
      <c r="C1517" t="s">
        <v>124</v>
      </c>
      <c r="D1517" s="2">
        <v>148569076.37</v>
      </c>
      <c r="E1517" s="2">
        <v>95502829689.690002</v>
      </c>
      <c r="F1517" s="2">
        <v>71768963026.539993</v>
      </c>
      <c r="G1517" s="2">
        <v>998905.08</v>
      </c>
    </row>
    <row r="1518" spans="1:7" x14ac:dyDescent="0.25">
      <c r="A1518" s="1">
        <v>45047</v>
      </c>
      <c r="B1518" t="s">
        <v>17</v>
      </c>
      <c r="C1518" t="s">
        <v>75</v>
      </c>
      <c r="D1518" s="2">
        <v>16873269.469999999</v>
      </c>
      <c r="E1518" s="2">
        <v>11954518.43</v>
      </c>
      <c r="F1518" s="2">
        <v>12450070.439999999</v>
      </c>
      <c r="G1518" s="2">
        <v>3262931.08</v>
      </c>
    </row>
    <row r="1519" spans="1:7" x14ac:dyDescent="0.25">
      <c r="A1519" s="1">
        <v>45047</v>
      </c>
      <c r="B1519" t="s">
        <v>23</v>
      </c>
      <c r="C1519" t="s">
        <v>34</v>
      </c>
      <c r="D1519" s="2">
        <v>130008023.06</v>
      </c>
      <c r="E1519" s="2">
        <v>77849328.549999997</v>
      </c>
      <c r="F1519" s="2">
        <v>66564777.259999998</v>
      </c>
      <c r="G1519" s="2">
        <v>39876126.5</v>
      </c>
    </row>
    <row r="1520" spans="1:7" x14ac:dyDescent="0.25">
      <c r="A1520" s="1">
        <v>45047</v>
      </c>
      <c r="B1520" t="s">
        <v>62</v>
      </c>
      <c r="C1520" t="s">
        <v>57</v>
      </c>
      <c r="D1520" s="2">
        <v>48498890.299999997</v>
      </c>
      <c r="E1520" s="2">
        <v>57034755.850000001</v>
      </c>
      <c r="F1520" s="2">
        <v>60733581.189999998</v>
      </c>
      <c r="G1520" s="2">
        <v>1989139.72</v>
      </c>
    </row>
    <row r="1521" spans="1:7" x14ac:dyDescent="0.25">
      <c r="A1521" s="1">
        <v>45047</v>
      </c>
      <c r="B1521" t="s">
        <v>27</v>
      </c>
      <c r="C1521" t="s">
        <v>99</v>
      </c>
      <c r="D1521" s="2">
        <v>10224665.41</v>
      </c>
      <c r="E1521" s="2">
        <v>38941790.609999999</v>
      </c>
      <c r="F1521" s="2">
        <v>37568476.140000001</v>
      </c>
      <c r="G1521" s="2">
        <v>2574377.9500000002</v>
      </c>
    </row>
    <row r="1522" spans="1:7" x14ac:dyDescent="0.25">
      <c r="A1522" s="1">
        <v>45047</v>
      </c>
      <c r="B1522" t="s">
        <v>65</v>
      </c>
      <c r="C1522" t="s">
        <v>72</v>
      </c>
      <c r="D1522" s="2">
        <v>8798120668.1900005</v>
      </c>
      <c r="E1522" s="2">
        <v>8779498765.1200008</v>
      </c>
      <c r="F1522" s="2">
        <v>8779436051.3400002</v>
      </c>
      <c r="G1522" s="2">
        <v>139499904.30000001</v>
      </c>
    </row>
    <row r="1523" spans="1:7" x14ac:dyDescent="0.25">
      <c r="A1523" s="1">
        <v>45047</v>
      </c>
      <c r="B1523" t="s">
        <v>65</v>
      </c>
      <c r="C1523" t="s">
        <v>57</v>
      </c>
      <c r="D1523" s="2">
        <v>216820468.93000001</v>
      </c>
      <c r="E1523" s="2">
        <v>185086788.40000001</v>
      </c>
      <c r="F1523" s="2">
        <v>148622550.22999999</v>
      </c>
      <c r="G1523" s="2">
        <v>1674355.05</v>
      </c>
    </row>
    <row r="1524" spans="1:7" x14ac:dyDescent="0.25">
      <c r="A1524" s="1">
        <v>45047</v>
      </c>
      <c r="B1524" t="s">
        <v>17</v>
      </c>
      <c r="C1524" t="s">
        <v>57</v>
      </c>
      <c r="D1524" s="2">
        <v>22766420.09</v>
      </c>
      <c r="E1524" s="2">
        <v>363721423.24000001</v>
      </c>
      <c r="F1524" s="2">
        <v>614142876.53999996</v>
      </c>
      <c r="G1524" s="2">
        <v>2129768.75</v>
      </c>
    </row>
    <row r="1525" spans="1:7" x14ac:dyDescent="0.25">
      <c r="A1525" s="1">
        <v>45047</v>
      </c>
      <c r="B1525" t="s">
        <v>54</v>
      </c>
      <c r="C1525" t="s">
        <v>12</v>
      </c>
      <c r="D1525" s="2">
        <v>21852902.219999999</v>
      </c>
      <c r="E1525" s="2">
        <v>8280298.9100000001</v>
      </c>
      <c r="F1525" s="2">
        <v>7035922.1299999999</v>
      </c>
      <c r="G1525" s="2">
        <v>4946454.42</v>
      </c>
    </row>
    <row r="1526" spans="1:7" x14ac:dyDescent="0.25">
      <c r="A1526" s="1">
        <v>45047</v>
      </c>
      <c r="B1526" t="s">
        <v>33</v>
      </c>
      <c r="C1526" t="s">
        <v>79</v>
      </c>
      <c r="D1526" s="2">
        <v>55481878.539999999</v>
      </c>
      <c r="E1526" s="2">
        <v>77507949.329999998</v>
      </c>
      <c r="F1526" s="2">
        <v>70508538.019999996</v>
      </c>
      <c r="G1526" s="2">
        <v>19578020.32</v>
      </c>
    </row>
    <row r="1527" spans="1:7" x14ac:dyDescent="0.25">
      <c r="A1527" s="1">
        <v>45047</v>
      </c>
      <c r="B1527" t="s">
        <v>37</v>
      </c>
      <c r="C1527" t="s">
        <v>75</v>
      </c>
      <c r="D1527" s="2">
        <v>11830769.550000001</v>
      </c>
      <c r="E1527" s="2">
        <v>4454802.17</v>
      </c>
      <c r="F1527" s="2">
        <v>4137716.41</v>
      </c>
      <c r="G1527" s="2">
        <v>421464.21</v>
      </c>
    </row>
    <row r="1528" spans="1:7" x14ac:dyDescent="0.25">
      <c r="A1528" s="1">
        <v>45047</v>
      </c>
      <c r="B1528" t="s">
        <v>33</v>
      </c>
      <c r="C1528" t="s">
        <v>90</v>
      </c>
      <c r="D1528" s="2">
        <v>23328818.600000001</v>
      </c>
      <c r="E1528" s="2">
        <v>9409030.2599999998</v>
      </c>
      <c r="F1528" s="2">
        <v>8874075.9700000007</v>
      </c>
      <c r="G1528" s="2">
        <v>641608.12</v>
      </c>
    </row>
    <row r="1529" spans="1:7" x14ac:dyDescent="0.25">
      <c r="A1529" s="1">
        <v>45047</v>
      </c>
      <c r="B1529" t="s">
        <v>33</v>
      </c>
      <c r="C1529" t="s">
        <v>57</v>
      </c>
      <c r="D1529" s="2">
        <v>1819500791.95</v>
      </c>
      <c r="E1529" s="2">
        <v>1655119021.6500001</v>
      </c>
      <c r="F1529" s="2">
        <v>1372882569.4000001</v>
      </c>
      <c r="G1529" s="2">
        <v>102075328.52</v>
      </c>
    </row>
    <row r="1530" spans="1:7" x14ac:dyDescent="0.25">
      <c r="A1530" s="1">
        <v>45047</v>
      </c>
      <c r="B1530" t="s">
        <v>9</v>
      </c>
      <c r="C1530" t="s">
        <v>112</v>
      </c>
      <c r="D1530" s="2">
        <v>90604056.480000004</v>
      </c>
      <c r="E1530" s="2">
        <v>74292888.739999995</v>
      </c>
      <c r="F1530" s="2">
        <v>78818238.469999999</v>
      </c>
      <c r="G1530" s="2">
        <v>41922624.700000003</v>
      </c>
    </row>
    <row r="1531" spans="1:7" x14ac:dyDescent="0.25">
      <c r="A1531" s="1">
        <v>45047</v>
      </c>
      <c r="B1531" t="s">
        <v>36</v>
      </c>
      <c r="C1531" t="s">
        <v>58</v>
      </c>
      <c r="D1531" s="2">
        <v>81915.8</v>
      </c>
      <c r="E1531">
        <v>0</v>
      </c>
      <c r="F1531">
        <v>0</v>
      </c>
      <c r="G1531" s="2">
        <v>25586532.039999999</v>
      </c>
    </row>
    <row r="1532" spans="1:7" x14ac:dyDescent="0.25">
      <c r="A1532" s="1">
        <v>45047</v>
      </c>
      <c r="B1532" t="s">
        <v>23</v>
      </c>
      <c r="C1532" t="s">
        <v>102</v>
      </c>
      <c r="D1532" s="2">
        <v>6926084613.1000004</v>
      </c>
      <c r="E1532" s="2">
        <v>5461544913.3500004</v>
      </c>
      <c r="F1532" s="2">
        <v>5439422233.2200003</v>
      </c>
      <c r="G1532" s="2">
        <v>212793984.15000001</v>
      </c>
    </row>
    <row r="1533" spans="1:7" x14ac:dyDescent="0.25">
      <c r="A1533" s="1">
        <v>45047</v>
      </c>
      <c r="B1533" t="s">
        <v>54</v>
      </c>
      <c r="C1533" t="s">
        <v>129</v>
      </c>
      <c r="D1533" s="2">
        <v>677271568.77999997</v>
      </c>
      <c r="E1533" s="2">
        <v>52044597.630000003</v>
      </c>
      <c r="F1533" s="2">
        <v>49647528.590000004</v>
      </c>
      <c r="G1533" s="2">
        <v>143952149.61000001</v>
      </c>
    </row>
    <row r="1534" spans="1:7" x14ac:dyDescent="0.25">
      <c r="A1534" s="1">
        <v>45047</v>
      </c>
      <c r="B1534" t="s">
        <v>31</v>
      </c>
      <c r="C1534" t="s">
        <v>29</v>
      </c>
      <c r="D1534" s="2">
        <v>22198285715.560001</v>
      </c>
      <c r="E1534" s="2">
        <v>35603076773.580002</v>
      </c>
      <c r="F1534" s="2">
        <v>36213645864.470001</v>
      </c>
      <c r="G1534" s="2">
        <v>107366287.39</v>
      </c>
    </row>
    <row r="1535" spans="1:7" x14ac:dyDescent="0.25">
      <c r="A1535" s="1">
        <v>45047</v>
      </c>
      <c r="B1535" t="s">
        <v>54</v>
      </c>
      <c r="C1535" t="s">
        <v>103</v>
      </c>
      <c r="D1535" s="2">
        <v>-53154516.420000002</v>
      </c>
      <c r="E1535" s="2">
        <v>15825569.109999999</v>
      </c>
      <c r="F1535" s="2">
        <v>5774581.2300000004</v>
      </c>
      <c r="G1535" s="2">
        <v>10302417.560000001</v>
      </c>
    </row>
    <row r="1536" spans="1:7" x14ac:dyDescent="0.25">
      <c r="A1536" s="1">
        <v>45047</v>
      </c>
      <c r="B1536" t="s">
        <v>17</v>
      </c>
      <c r="C1536" t="s">
        <v>39</v>
      </c>
      <c r="D1536" s="2">
        <v>7181418.2400000002</v>
      </c>
      <c r="E1536" s="2">
        <v>1656598.79</v>
      </c>
      <c r="F1536" s="2">
        <v>1906628.19</v>
      </c>
      <c r="G1536">
        <v>-694.7</v>
      </c>
    </row>
    <row r="1537" spans="1:7" x14ac:dyDescent="0.25">
      <c r="A1537" s="1">
        <v>45047</v>
      </c>
      <c r="B1537" t="s">
        <v>37</v>
      </c>
      <c r="C1537" t="s">
        <v>117</v>
      </c>
      <c r="D1537" s="2">
        <v>4564291.24</v>
      </c>
      <c r="E1537" s="2">
        <v>1581703.36</v>
      </c>
      <c r="F1537" s="2">
        <v>1543759.69</v>
      </c>
      <c r="G1537" s="2">
        <v>2031474.44</v>
      </c>
    </row>
    <row r="1538" spans="1:7" x14ac:dyDescent="0.25">
      <c r="A1538" s="1">
        <v>45047</v>
      </c>
      <c r="B1538" t="s">
        <v>43</v>
      </c>
      <c r="C1538" t="s">
        <v>127</v>
      </c>
      <c r="D1538" s="2">
        <v>2517980.2999999998</v>
      </c>
      <c r="E1538" s="2">
        <v>2159558.0299999998</v>
      </c>
      <c r="F1538" s="2">
        <v>1906217.7</v>
      </c>
      <c r="G1538" s="2">
        <v>361446.28</v>
      </c>
    </row>
    <row r="1539" spans="1:7" x14ac:dyDescent="0.25">
      <c r="A1539" s="1">
        <v>45047</v>
      </c>
      <c r="B1539" t="s">
        <v>37</v>
      </c>
      <c r="C1539" t="s">
        <v>57</v>
      </c>
      <c r="D1539" s="2">
        <v>31095662.489999998</v>
      </c>
      <c r="E1539" s="2">
        <v>35690749.109999999</v>
      </c>
      <c r="F1539" s="2">
        <v>33644129.539999999</v>
      </c>
      <c r="G1539" s="2">
        <v>991362.45</v>
      </c>
    </row>
    <row r="1540" spans="1:7" x14ac:dyDescent="0.25">
      <c r="A1540" s="1">
        <v>45047</v>
      </c>
      <c r="B1540" t="s">
        <v>9</v>
      </c>
      <c r="C1540" t="s">
        <v>128</v>
      </c>
      <c r="D1540" s="2">
        <v>300682565</v>
      </c>
      <c r="E1540" s="2">
        <v>129679787.97</v>
      </c>
      <c r="F1540" s="2">
        <v>209292675.41</v>
      </c>
      <c r="G1540" s="2">
        <v>146221551.19999999</v>
      </c>
    </row>
    <row r="1541" spans="1:7" x14ac:dyDescent="0.25">
      <c r="A1541" s="1">
        <v>45047</v>
      </c>
      <c r="B1541" t="s">
        <v>11</v>
      </c>
      <c r="C1541" t="s">
        <v>107</v>
      </c>
      <c r="D1541" s="2">
        <v>4845709.1900000004</v>
      </c>
      <c r="E1541" s="2">
        <v>4556153.5999999996</v>
      </c>
      <c r="F1541" s="2">
        <v>4548890.1399999997</v>
      </c>
      <c r="G1541" s="2">
        <v>534119.31000000006</v>
      </c>
    </row>
    <row r="1542" spans="1:7" x14ac:dyDescent="0.25">
      <c r="A1542" s="1">
        <v>45047</v>
      </c>
      <c r="B1542" t="s">
        <v>11</v>
      </c>
      <c r="C1542" t="s">
        <v>57</v>
      </c>
      <c r="D1542" s="2">
        <v>134395629.28999999</v>
      </c>
      <c r="E1542" s="2">
        <v>174937732.11000001</v>
      </c>
      <c r="F1542" s="2">
        <v>170801546.44</v>
      </c>
      <c r="G1542" s="2">
        <v>4606636</v>
      </c>
    </row>
    <row r="1543" spans="1:7" x14ac:dyDescent="0.25">
      <c r="A1543" s="1">
        <v>45047</v>
      </c>
      <c r="B1543" t="s">
        <v>23</v>
      </c>
      <c r="C1543" t="s">
        <v>78</v>
      </c>
      <c r="D1543" s="2">
        <v>4977949787.9300003</v>
      </c>
      <c r="E1543" s="2">
        <v>2312064307.4499998</v>
      </c>
      <c r="F1543" s="2">
        <v>2317124089.6500001</v>
      </c>
      <c r="G1543" s="2">
        <v>282749573.10000002</v>
      </c>
    </row>
    <row r="1544" spans="1:7" x14ac:dyDescent="0.25">
      <c r="A1544" s="1">
        <v>45047</v>
      </c>
      <c r="B1544" t="s">
        <v>7</v>
      </c>
      <c r="C1544" t="s">
        <v>102</v>
      </c>
      <c r="D1544" s="2">
        <v>282332059.67000002</v>
      </c>
      <c r="E1544" s="2">
        <v>900236744.12</v>
      </c>
      <c r="F1544" s="2">
        <v>795675216.78999996</v>
      </c>
      <c r="G1544" s="2">
        <v>40737579.5</v>
      </c>
    </row>
    <row r="1545" spans="1:7" x14ac:dyDescent="0.25">
      <c r="A1545" s="1">
        <v>45047</v>
      </c>
      <c r="B1545" t="s">
        <v>26</v>
      </c>
      <c r="C1545" t="s">
        <v>72</v>
      </c>
      <c r="D1545" s="2">
        <v>1819050.3</v>
      </c>
      <c r="E1545" s="2">
        <v>11028769.82</v>
      </c>
      <c r="F1545" s="2">
        <v>10979305.189999999</v>
      </c>
      <c r="G1545">
        <v>0</v>
      </c>
    </row>
    <row r="1546" spans="1:7" x14ac:dyDescent="0.25">
      <c r="A1546" s="1">
        <v>45047</v>
      </c>
      <c r="B1546" t="s">
        <v>7</v>
      </c>
      <c r="C1546" t="s">
        <v>100</v>
      </c>
      <c r="D1546" s="2">
        <v>1416218460.9100001</v>
      </c>
      <c r="E1546" s="2">
        <v>2948785312.8400002</v>
      </c>
      <c r="F1546" s="2">
        <v>2484561067.4899998</v>
      </c>
      <c r="G1546" s="2">
        <v>168133629.66999999</v>
      </c>
    </row>
    <row r="1547" spans="1:7" x14ac:dyDescent="0.25">
      <c r="A1547" s="1">
        <v>45047</v>
      </c>
      <c r="B1547" t="s">
        <v>54</v>
      </c>
      <c r="C1547" t="s">
        <v>78</v>
      </c>
      <c r="D1547" s="2">
        <v>3363852.77</v>
      </c>
      <c r="E1547" s="2">
        <v>147038.9</v>
      </c>
      <c r="F1547">
        <v>0</v>
      </c>
      <c r="G1547" s="2">
        <v>84767756.870000005</v>
      </c>
    </row>
    <row r="1548" spans="1:7" x14ac:dyDescent="0.25">
      <c r="A1548" s="1">
        <v>45047</v>
      </c>
      <c r="B1548" t="s">
        <v>54</v>
      </c>
      <c r="C1548" t="s">
        <v>75</v>
      </c>
      <c r="D1548" s="2">
        <v>32951940.32</v>
      </c>
      <c r="E1548" s="2">
        <v>11011011.029999999</v>
      </c>
      <c r="F1548" s="2">
        <v>11000867.17</v>
      </c>
      <c r="G1548" s="2">
        <v>7993497.21</v>
      </c>
    </row>
    <row r="1549" spans="1:7" x14ac:dyDescent="0.25">
      <c r="A1549" s="1">
        <v>45047</v>
      </c>
      <c r="B1549" t="s">
        <v>54</v>
      </c>
      <c r="C1549" t="s">
        <v>72</v>
      </c>
      <c r="D1549" s="2">
        <v>581037813.22000003</v>
      </c>
      <c r="E1549" s="2">
        <v>692911876.38999999</v>
      </c>
      <c r="F1549" s="2">
        <v>601533763.95000005</v>
      </c>
      <c r="G1549" s="2">
        <v>45712346.049999997</v>
      </c>
    </row>
    <row r="1550" spans="1:7" x14ac:dyDescent="0.25">
      <c r="A1550" s="1">
        <v>45047</v>
      </c>
      <c r="B1550" t="s">
        <v>23</v>
      </c>
      <c r="C1550" t="s">
        <v>57</v>
      </c>
      <c r="D1550" s="2">
        <v>264469185.78</v>
      </c>
      <c r="E1550" s="2">
        <v>606246691.47000003</v>
      </c>
      <c r="F1550" s="2">
        <v>552206297.28999996</v>
      </c>
      <c r="G1550" s="2">
        <v>12174615.310000001</v>
      </c>
    </row>
    <row r="1551" spans="1:7" x14ac:dyDescent="0.25">
      <c r="A1551" s="1">
        <v>45047</v>
      </c>
      <c r="B1551" t="s">
        <v>54</v>
      </c>
      <c r="C1551" t="s">
        <v>57</v>
      </c>
      <c r="D1551" s="2">
        <v>1224838310.3099999</v>
      </c>
      <c r="E1551" s="2">
        <v>5070845303.3500004</v>
      </c>
      <c r="F1551" s="2">
        <v>5135507925.7299995</v>
      </c>
      <c r="G1551" s="2">
        <v>65257800.479999997</v>
      </c>
    </row>
    <row r="1552" spans="1:7" x14ac:dyDescent="0.25">
      <c r="A1552" s="1">
        <v>45047</v>
      </c>
      <c r="B1552" t="s">
        <v>17</v>
      </c>
      <c r="C1552" t="s">
        <v>103</v>
      </c>
      <c r="D1552" s="2">
        <v>36449748.130000003</v>
      </c>
      <c r="E1552" s="2">
        <v>14316512.9</v>
      </c>
      <c r="F1552" s="2">
        <v>11951190.189999999</v>
      </c>
      <c r="G1552" s="2">
        <v>4649834.46</v>
      </c>
    </row>
    <row r="1553" spans="1:7" x14ac:dyDescent="0.25">
      <c r="A1553" s="1">
        <v>45047</v>
      </c>
      <c r="B1553" t="s">
        <v>7</v>
      </c>
      <c r="C1553" t="s">
        <v>68</v>
      </c>
      <c r="D1553" s="2">
        <v>948437612.04999995</v>
      </c>
      <c r="E1553" s="2">
        <v>1115700694.5899999</v>
      </c>
      <c r="F1553" s="2">
        <v>889786122.24000001</v>
      </c>
      <c r="G1553" s="2">
        <v>103565979.89</v>
      </c>
    </row>
    <row r="1554" spans="1:7" x14ac:dyDescent="0.25">
      <c r="A1554" s="1">
        <v>45047</v>
      </c>
      <c r="B1554" t="s">
        <v>11</v>
      </c>
      <c r="C1554" t="s">
        <v>50</v>
      </c>
      <c r="D1554" s="2">
        <v>140515810.38999999</v>
      </c>
      <c r="E1554" s="2">
        <v>159919249.75999999</v>
      </c>
      <c r="F1554" s="2">
        <v>160982507.59</v>
      </c>
      <c r="G1554" s="2">
        <v>924686.6</v>
      </c>
    </row>
    <row r="1555" spans="1:7" x14ac:dyDescent="0.25">
      <c r="A1555" s="1">
        <v>45047</v>
      </c>
      <c r="B1555" t="s">
        <v>9</v>
      </c>
      <c r="C1555" t="s">
        <v>57</v>
      </c>
      <c r="D1555" s="2">
        <v>259596754.41999999</v>
      </c>
      <c r="E1555" s="2">
        <v>644408384.19000006</v>
      </c>
      <c r="F1555" s="2">
        <v>623389581.09000003</v>
      </c>
      <c r="G1555" s="2">
        <v>10008728.74</v>
      </c>
    </row>
    <row r="1556" spans="1:7" x14ac:dyDescent="0.25">
      <c r="A1556" s="1">
        <v>45047</v>
      </c>
      <c r="B1556" t="s">
        <v>7</v>
      </c>
      <c r="C1556" t="s">
        <v>12</v>
      </c>
      <c r="D1556" s="2">
        <v>5109751.87</v>
      </c>
      <c r="E1556" s="2">
        <v>2786009.23</v>
      </c>
      <c r="F1556" s="2">
        <v>2146735.52</v>
      </c>
      <c r="G1556" s="2">
        <v>1190387.29</v>
      </c>
    </row>
    <row r="1557" spans="1:7" x14ac:dyDescent="0.25">
      <c r="A1557" s="1">
        <v>45078</v>
      </c>
      <c r="B1557" t="s">
        <v>9</v>
      </c>
      <c r="C1557" t="s">
        <v>10</v>
      </c>
      <c r="D1557" s="2">
        <v>222089.83</v>
      </c>
      <c r="E1557" s="2">
        <v>361289.83</v>
      </c>
      <c r="F1557" s="2">
        <v>389589.83</v>
      </c>
      <c r="G1557">
        <v>0</v>
      </c>
    </row>
    <row r="1558" spans="1:7" x14ac:dyDescent="0.25">
      <c r="A1558" s="1">
        <v>45078</v>
      </c>
      <c r="B1558" t="s">
        <v>23</v>
      </c>
      <c r="C1558" t="s">
        <v>24</v>
      </c>
      <c r="D1558">
        <v>0</v>
      </c>
      <c r="E1558">
        <v>0</v>
      </c>
      <c r="F1558">
        <v>0</v>
      </c>
      <c r="G1558" s="2">
        <v>2000000</v>
      </c>
    </row>
    <row r="1559" spans="1:7" x14ac:dyDescent="0.25">
      <c r="A1559" s="1">
        <v>45078</v>
      </c>
      <c r="B1559" t="s">
        <v>36</v>
      </c>
      <c r="C1559" t="s">
        <v>72</v>
      </c>
      <c r="D1559">
        <v>0</v>
      </c>
      <c r="E1559">
        <v>0</v>
      </c>
      <c r="F1559">
        <v>0</v>
      </c>
      <c r="G1559">
        <v>2.85</v>
      </c>
    </row>
    <row r="1560" spans="1:7" x14ac:dyDescent="0.25">
      <c r="A1560" s="1">
        <v>45078</v>
      </c>
      <c r="B1560" t="s">
        <v>28</v>
      </c>
      <c r="C1560" t="s">
        <v>25</v>
      </c>
      <c r="D1560">
        <v>0</v>
      </c>
      <c r="E1560">
        <v>0</v>
      </c>
      <c r="F1560">
        <v>0</v>
      </c>
      <c r="G1560" s="2">
        <v>9431.08</v>
      </c>
    </row>
    <row r="1561" spans="1:7" x14ac:dyDescent="0.25">
      <c r="A1561" s="1">
        <v>45078</v>
      </c>
      <c r="B1561" t="s">
        <v>91</v>
      </c>
      <c r="C1561" t="s">
        <v>22</v>
      </c>
      <c r="D1561" s="2">
        <v>107624</v>
      </c>
      <c r="E1561" s="2">
        <v>15748039.01</v>
      </c>
      <c r="F1561" s="2">
        <v>15744531.210000001</v>
      </c>
      <c r="G1561">
        <v>0</v>
      </c>
    </row>
    <row r="1562" spans="1:7" x14ac:dyDescent="0.25">
      <c r="A1562" s="1">
        <v>45078</v>
      </c>
      <c r="B1562" t="s">
        <v>21</v>
      </c>
      <c r="C1562" t="s">
        <v>22</v>
      </c>
      <c r="D1562">
        <v>0</v>
      </c>
      <c r="E1562">
        <v>0</v>
      </c>
      <c r="F1562">
        <v>0</v>
      </c>
      <c r="G1562" s="2">
        <v>11776.32</v>
      </c>
    </row>
    <row r="1563" spans="1:7" x14ac:dyDescent="0.25">
      <c r="A1563" s="1">
        <v>45078</v>
      </c>
      <c r="B1563" t="s">
        <v>17</v>
      </c>
      <c r="C1563" t="s">
        <v>66</v>
      </c>
      <c r="D1563">
        <v>0</v>
      </c>
      <c r="E1563">
        <v>0</v>
      </c>
      <c r="F1563">
        <v>0</v>
      </c>
      <c r="G1563" s="2">
        <v>340524.52</v>
      </c>
    </row>
    <row r="1564" spans="1:7" x14ac:dyDescent="0.25">
      <c r="A1564" s="1">
        <v>45078</v>
      </c>
      <c r="B1564" t="s">
        <v>15</v>
      </c>
      <c r="C1564" t="s">
        <v>22</v>
      </c>
      <c r="D1564">
        <v>0</v>
      </c>
      <c r="E1564" s="2">
        <v>4398824.21</v>
      </c>
      <c r="F1564" s="2">
        <v>4401822.46</v>
      </c>
      <c r="G1564">
        <v>0</v>
      </c>
    </row>
    <row r="1565" spans="1:7" x14ac:dyDescent="0.25">
      <c r="A1565" s="1">
        <v>45078</v>
      </c>
      <c r="B1565" t="s">
        <v>23</v>
      </c>
      <c r="C1565" t="s">
        <v>58</v>
      </c>
      <c r="D1565" s="2">
        <v>1632164.26</v>
      </c>
      <c r="E1565" s="2">
        <v>1641346.18</v>
      </c>
      <c r="F1565" s="2">
        <v>141346.18</v>
      </c>
      <c r="G1565" s="2">
        <v>381039</v>
      </c>
    </row>
    <row r="1566" spans="1:7" x14ac:dyDescent="0.25">
      <c r="A1566" s="1">
        <v>45078</v>
      </c>
      <c r="B1566" t="s">
        <v>83</v>
      </c>
      <c r="C1566" t="s">
        <v>131</v>
      </c>
      <c r="D1566" s="2">
        <v>4505.5</v>
      </c>
      <c r="E1566" s="2">
        <v>4505.5</v>
      </c>
      <c r="F1566">
        <v>0</v>
      </c>
      <c r="G1566">
        <v>0</v>
      </c>
    </row>
    <row r="1567" spans="1:7" x14ac:dyDescent="0.25">
      <c r="A1567" s="1">
        <v>45078</v>
      </c>
      <c r="B1567" t="s">
        <v>27</v>
      </c>
      <c r="C1567" t="s">
        <v>78</v>
      </c>
      <c r="D1567">
        <v>0</v>
      </c>
      <c r="E1567">
        <v>0</v>
      </c>
      <c r="F1567">
        <v>0</v>
      </c>
      <c r="G1567" s="2">
        <v>12517.33</v>
      </c>
    </row>
    <row r="1568" spans="1:7" x14ac:dyDescent="0.25">
      <c r="A1568" s="1">
        <v>45078</v>
      </c>
      <c r="B1568" t="s">
        <v>27</v>
      </c>
      <c r="C1568" t="s">
        <v>22</v>
      </c>
      <c r="D1568">
        <v>0</v>
      </c>
      <c r="E1568" s="2">
        <v>26925900.899999999</v>
      </c>
      <c r="F1568" s="2">
        <v>26925900.899999999</v>
      </c>
      <c r="G1568" s="2">
        <v>33934.699999999997</v>
      </c>
    </row>
    <row r="1569" spans="1:7" x14ac:dyDescent="0.25">
      <c r="A1569" s="1">
        <v>45078</v>
      </c>
      <c r="B1569" t="s">
        <v>15</v>
      </c>
      <c r="C1569" t="s">
        <v>30</v>
      </c>
      <c r="D1569">
        <v>0</v>
      </c>
      <c r="E1569" s="2">
        <v>3612.5</v>
      </c>
      <c r="F1569" s="2">
        <v>3612.5</v>
      </c>
      <c r="G1569">
        <v>0</v>
      </c>
    </row>
    <row r="1570" spans="1:7" x14ac:dyDescent="0.25">
      <c r="A1570" s="1">
        <v>45078</v>
      </c>
      <c r="B1570" t="s">
        <v>47</v>
      </c>
      <c r="C1570" t="s">
        <v>103</v>
      </c>
      <c r="D1570" s="2">
        <v>3023622.58</v>
      </c>
      <c r="E1570" s="2">
        <v>3023622.58</v>
      </c>
      <c r="F1570" s="2">
        <v>3023622.58</v>
      </c>
      <c r="G1570" s="2">
        <v>476414.92</v>
      </c>
    </row>
    <row r="1571" spans="1:7" x14ac:dyDescent="0.25">
      <c r="A1571" s="1">
        <v>45078</v>
      </c>
      <c r="B1571" t="s">
        <v>11</v>
      </c>
      <c r="C1571" t="s">
        <v>78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 s="1">
        <v>45078</v>
      </c>
      <c r="B1572" t="s">
        <v>37</v>
      </c>
      <c r="C1572" t="s">
        <v>70</v>
      </c>
      <c r="D1572">
        <v>0</v>
      </c>
      <c r="E1572">
        <v>0</v>
      </c>
      <c r="F1572">
        <v>0</v>
      </c>
      <c r="G1572" s="2">
        <v>235569</v>
      </c>
    </row>
    <row r="1573" spans="1:7" x14ac:dyDescent="0.25">
      <c r="A1573" s="1">
        <v>45078</v>
      </c>
      <c r="B1573" t="s">
        <v>62</v>
      </c>
      <c r="C1573" t="s">
        <v>39</v>
      </c>
      <c r="D1573" s="2">
        <v>49533938</v>
      </c>
      <c r="E1573" s="2">
        <v>37740302</v>
      </c>
      <c r="F1573">
        <v>0</v>
      </c>
      <c r="G1573">
        <v>0</v>
      </c>
    </row>
    <row r="1574" spans="1:7" x14ac:dyDescent="0.25">
      <c r="A1574" s="1">
        <v>45078</v>
      </c>
      <c r="B1574" t="s">
        <v>43</v>
      </c>
      <c r="C1574" t="s">
        <v>61</v>
      </c>
      <c r="D1574">
        <v>0</v>
      </c>
      <c r="E1574" s="2">
        <v>706743.28</v>
      </c>
      <c r="F1574" s="2">
        <v>578664.77</v>
      </c>
      <c r="G1574" s="2">
        <v>2016121</v>
      </c>
    </row>
    <row r="1575" spans="1:7" x14ac:dyDescent="0.25">
      <c r="A1575" s="1">
        <v>45078</v>
      </c>
      <c r="B1575" t="s">
        <v>17</v>
      </c>
      <c r="C1575" t="s">
        <v>22</v>
      </c>
      <c r="D1575">
        <v>0</v>
      </c>
      <c r="E1575" s="2">
        <v>15614054.24</v>
      </c>
      <c r="F1575" s="2">
        <v>15580998.800000001</v>
      </c>
      <c r="G1575" s="2">
        <v>47311.7</v>
      </c>
    </row>
    <row r="1576" spans="1:7" x14ac:dyDescent="0.25">
      <c r="A1576" s="1">
        <v>45078</v>
      </c>
      <c r="B1576" t="s">
        <v>15</v>
      </c>
      <c r="C1576" t="s">
        <v>51</v>
      </c>
      <c r="D1576" s="2">
        <v>57090.62</v>
      </c>
      <c r="E1576" s="2">
        <v>457352.78</v>
      </c>
      <c r="F1576" s="2">
        <v>463775.97</v>
      </c>
      <c r="G1576" s="2">
        <v>52375.74</v>
      </c>
    </row>
    <row r="1577" spans="1:7" x14ac:dyDescent="0.25">
      <c r="A1577" s="1">
        <v>45078</v>
      </c>
      <c r="B1577" t="s">
        <v>23</v>
      </c>
      <c r="C1577" t="s">
        <v>22</v>
      </c>
      <c r="D1577">
        <v>0</v>
      </c>
      <c r="E1577" s="2">
        <v>82862335.400000006</v>
      </c>
      <c r="F1577" s="2">
        <v>82862335.400000006</v>
      </c>
      <c r="G1577">
        <v>0</v>
      </c>
    </row>
    <row r="1578" spans="1:7" x14ac:dyDescent="0.25">
      <c r="A1578" s="1">
        <v>45078</v>
      </c>
      <c r="B1578" t="s">
        <v>91</v>
      </c>
      <c r="C1578" t="s">
        <v>78</v>
      </c>
      <c r="D1578">
        <v>0</v>
      </c>
      <c r="E1578">
        <v>0</v>
      </c>
      <c r="F1578">
        <v>0</v>
      </c>
      <c r="G1578" s="2">
        <v>-6846.74</v>
      </c>
    </row>
    <row r="1579" spans="1:7" x14ac:dyDescent="0.25">
      <c r="A1579" s="1">
        <v>45078</v>
      </c>
      <c r="B1579" t="s">
        <v>11</v>
      </c>
      <c r="C1579" t="s">
        <v>22</v>
      </c>
      <c r="D1579" s="2">
        <v>2577930</v>
      </c>
      <c r="E1579" s="2">
        <v>10463961.91</v>
      </c>
      <c r="F1579" s="2">
        <v>10463961.91</v>
      </c>
      <c r="G1579" s="2">
        <v>10362.32</v>
      </c>
    </row>
    <row r="1580" spans="1:7" x14ac:dyDescent="0.25">
      <c r="A1580" s="1">
        <v>45078</v>
      </c>
      <c r="B1580" t="s">
        <v>13</v>
      </c>
      <c r="C1580" t="s">
        <v>16</v>
      </c>
      <c r="D1580">
        <v>0</v>
      </c>
      <c r="E1580" s="2">
        <v>2434.3200000000002</v>
      </c>
      <c r="F1580" s="2">
        <v>2434.3200000000002</v>
      </c>
      <c r="G1580">
        <v>0</v>
      </c>
    </row>
    <row r="1581" spans="1:7" x14ac:dyDescent="0.25">
      <c r="A1581" s="1">
        <v>45078</v>
      </c>
      <c r="B1581" t="s">
        <v>43</v>
      </c>
      <c r="C1581" t="s">
        <v>89</v>
      </c>
      <c r="D1581">
        <v>0</v>
      </c>
      <c r="E1581">
        <v>0</v>
      </c>
      <c r="F1581">
        <v>0</v>
      </c>
      <c r="G1581" s="2">
        <v>566400</v>
      </c>
    </row>
    <row r="1582" spans="1:7" x14ac:dyDescent="0.25">
      <c r="A1582" s="1">
        <v>45078</v>
      </c>
      <c r="B1582" t="s">
        <v>47</v>
      </c>
      <c r="C1582" t="s">
        <v>22</v>
      </c>
      <c r="D1582">
        <v>0</v>
      </c>
      <c r="E1582" s="2">
        <v>4233766.4000000004</v>
      </c>
      <c r="F1582" s="2">
        <v>4233766.4000000004</v>
      </c>
      <c r="G1582">
        <v>0</v>
      </c>
    </row>
    <row r="1583" spans="1:7" x14ac:dyDescent="0.25">
      <c r="A1583" s="1">
        <v>45078</v>
      </c>
      <c r="B1583" t="s">
        <v>43</v>
      </c>
      <c r="C1583" t="s">
        <v>39</v>
      </c>
      <c r="D1583">
        <v>0</v>
      </c>
      <c r="E1583">
        <v>0</v>
      </c>
      <c r="F1583">
        <v>0</v>
      </c>
      <c r="G1583" s="2">
        <v>66374.06</v>
      </c>
    </row>
    <row r="1584" spans="1:7" x14ac:dyDescent="0.25">
      <c r="A1584" s="1">
        <v>45078</v>
      </c>
      <c r="B1584" t="s">
        <v>11</v>
      </c>
      <c r="C1584" t="s">
        <v>12</v>
      </c>
      <c r="D1584" s="2">
        <v>493643.76</v>
      </c>
      <c r="E1584" s="2">
        <v>480205.36</v>
      </c>
      <c r="F1584" s="2">
        <v>65851.839999999997</v>
      </c>
      <c r="G1584" s="2">
        <v>30000</v>
      </c>
    </row>
    <row r="1585" spans="1:7" x14ac:dyDescent="0.25">
      <c r="A1585" s="1">
        <v>45078</v>
      </c>
      <c r="B1585" t="s">
        <v>27</v>
      </c>
      <c r="C1585" t="s">
        <v>56</v>
      </c>
      <c r="D1585" s="2">
        <v>173457.12</v>
      </c>
      <c r="E1585" s="2">
        <v>9601.14</v>
      </c>
      <c r="F1585" s="2">
        <v>9601.14</v>
      </c>
      <c r="G1585">
        <v>0</v>
      </c>
    </row>
    <row r="1586" spans="1:7" x14ac:dyDescent="0.25">
      <c r="A1586" s="1">
        <v>45078</v>
      </c>
      <c r="B1586" t="s">
        <v>17</v>
      </c>
      <c r="C1586" t="s">
        <v>18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 s="1">
        <v>45078</v>
      </c>
      <c r="B1587" t="s">
        <v>54</v>
      </c>
      <c r="C1587" t="s">
        <v>8</v>
      </c>
      <c r="D1587" s="2">
        <v>1106941.6200000001</v>
      </c>
      <c r="E1587" s="2">
        <v>26047.64</v>
      </c>
      <c r="F1587" s="2">
        <v>26047.64</v>
      </c>
      <c r="G1587" s="2">
        <v>37683.47</v>
      </c>
    </row>
    <row r="1588" spans="1:7" x14ac:dyDescent="0.25">
      <c r="A1588" s="1">
        <v>45078</v>
      </c>
      <c r="B1588" t="s">
        <v>15</v>
      </c>
      <c r="C1588" t="s">
        <v>60</v>
      </c>
      <c r="D1588" s="2">
        <v>-390165.04</v>
      </c>
      <c r="E1588" s="2">
        <v>3299865.52</v>
      </c>
      <c r="F1588" s="2">
        <v>2709831.85</v>
      </c>
      <c r="G1588" s="2">
        <v>6590.5</v>
      </c>
    </row>
    <row r="1589" spans="1:7" x14ac:dyDescent="0.25">
      <c r="A1589" s="1">
        <v>45078</v>
      </c>
      <c r="B1589" t="s">
        <v>9</v>
      </c>
      <c r="C1589" t="s">
        <v>22</v>
      </c>
      <c r="D1589">
        <v>0</v>
      </c>
      <c r="E1589" s="2">
        <v>114445542.69</v>
      </c>
      <c r="F1589" s="2">
        <v>114445542.69</v>
      </c>
      <c r="G1589" s="2">
        <v>10261.799999999999</v>
      </c>
    </row>
    <row r="1590" spans="1:7" x14ac:dyDescent="0.25">
      <c r="A1590" s="1">
        <v>45078</v>
      </c>
      <c r="B1590" t="s">
        <v>45</v>
      </c>
      <c r="C1590" t="s">
        <v>46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 s="1">
        <v>45078</v>
      </c>
      <c r="B1591" t="s">
        <v>13</v>
      </c>
      <c r="C1591" t="s">
        <v>20</v>
      </c>
      <c r="D1591">
        <v>0</v>
      </c>
      <c r="E1591" s="2">
        <v>210326.72</v>
      </c>
      <c r="F1591" s="2">
        <v>210326.72</v>
      </c>
      <c r="G1591" s="2">
        <v>269300</v>
      </c>
    </row>
    <row r="1592" spans="1:7" x14ac:dyDescent="0.25">
      <c r="A1592" s="1">
        <v>45078</v>
      </c>
      <c r="B1592" t="s">
        <v>37</v>
      </c>
      <c r="C1592" t="s">
        <v>106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 s="1">
        <v>45078</v>
      </c>
      <c r="B1593" t="s">
        <v>62</v>
      </c>
      <c r="C1593" t="s">
        <v>63</v>
      </c>
      <c r="D1593">
        <v>0</v>
      </c>
      <c r="E1593">
        <v>0</v>
      </c>
      <c r="F1593">
        <v>0</v>
      </c>
      <c r="G1593" s="2">
        <v>187834.23</v>
      </c>
    </row>
    <row r="1594" spans="1:7" x14ac:dyDescent="0.25">
      <c r="A1594" s="1">
        <v>45078</v>
      </c>
      <c r="B1594" t="s">
        <v>47</v>
      </c>
      <c r="C1594" t="s">
        <v>78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 s="1">
        <v>45078</v>
      </c>
      <c r="B1595" t="s">
        <v>28</v>
      </c>
      <c r="C1595" t="s">
        <v>14</v>
      </c>
      <c r="D1595" s="2">
        <v>3248096.95</v>
      </c>
      <c r="E1595" s="2">
        <v>895463.74</v>
      </c>
      <c r="F1595" s="2">
        <v>1350400.85</v>
      </c>
      <c r="G1595" s="2">
        <v>9920027.5199999996</v>
      </c>
    </row>
    <row r="1596" spans="1:7" x14ac:dyDescent="0.25">
      <c r="A1596" s="1">
        <v>45078</v>
      </c>
      <c r="B1596" t="s">
        <v>69</v>
      </c>
      <c r="C1596" t="s">
        <v>22</v>
      </c>
      <c r="D1596" s="2">
        <v>15016903.42</v>
      </c>
      <c r="E1596" s="2">
        <v>14800187.310000001</v>
      </c>
      <c r="F1596" s="2">
        <v>14851751.82</v>
      </c>
      <c r="G1596">
        <v>0</v>
      </c>
    </row>
    <row r="1597" spans="1:7" x14ac:dyDescent="0.25">
      <c r="A1597" s="1">
        <v>45078</v>
      </c>
      <c r="B1597" t="s">
        <v>43</v>
      </c>
      <c r="C1597" t="s">
        <v>78</v>
      </c>
      <c r="D1597">
        <v>0</v>
      </c>
      <c r="E1597">
        <v>0</v>
      </c>
      <c r="F1597">
        <v>0</v>
      </c>
      <c r="G1597" s="2">
        <v>10489.29</v>
      </c>
    </row>
    <row r="1598" spans="1:7" x14ac:dyDescent="0.25">
      <c r="A1598" s="1">
        <v>45078</v>
      </c>
      <c r="B1598" t="s">
        <v>23</v>
      </c>
      <c r="C1598" t="s">
        <v>59</v>
      </c>
      <c r="D1598">
        <v>0</v>
      </c>
      <c r="E1598">
        <v>0</v>
      </c>
      <c r="F1598">
        <v>0</v>
      </c>
      <c r="G1598" s="2">
        <v>4500</v>
      </c>
    </row>
    <row r="1599" spans="1:7" x14ac:dyDescent="0.25">
      <c r="A1599" s="1">
        <v>45078</v>
      </c>
      <c r="B1599" t="s">
        <v>17</v>
      </c>
      <c r="C1599" t="s">
        <v>16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 s="1">
        <v>45078</v>
      </c>
      <c r="B1600" t="s">
        <v>17</v>
      </c>
      <c r="C1600" t="s">
        <v>59</v>
      </c>
      <c r="D1600" s="2">
        <v>1283276.3</v>
      </c>
      <c r="E1600">
        <v>0</v>
      </c>
      <c r="F1600">
        <v>0</v>
      </c>
      <c r="G1600" s="2">
        <v>36500</v>
      </c>
    </row>
    <row r="1601" spans="1:7" x14ac:dyDescent="0.25">
      <c r="A1601" s="1">
        <v>45078</v>
      </c>
      <c r="B1601" t="s">
        <v>33</v>
      </c>
      <c r="C1601" t="s">
        <v>67</v>
      </c>
      <c r="D1601" s="2">
        <v>-427410.16</v>
      </c>
      <c r="E1601" s="2">
        <v>2025198.53</v>
      </c>
      <c r="F1601" s="2">
        <v>1427872.4</v>
      </c>
      <c r="G1601" s="2">
        <v>41044.160000000003</v>
      </c>
    </row>
    <row r="1602" spans="1:7" x14ac:dyDescent="0.25">
      <c r="A1602" s="1">
        <v>45078</v>
      </c>
      <c r="B1602" t="s">
        <v>7</v>
      </c>
      <c r="C1602" t="s">
        <v>34</v>
      </c>
      <c r="D1602">
        <v>0</v>
      </c>
      <c r="E1602">
        <v>0</v>
      </c>
      <c r="F1602">
        <v>0</v>
      </c>
      <c r="G1602" s="2">
        <v>58757736</v>
      </c>
    </row>
    <row r="1603" spans="1:7" x14ac:dyDescent="0.25">
      <c r="A1603" s="1">
        <v>45078</v>
      </c>
      <c r="B1603" t="s">
        <v>7</v>
      </c>
      <c r="C1603" t="s">
        <v>16</v>
      </c>
      <c r="D1603">
        <v>0</v>
      </c>
      <c r="E1603" s="2">
        <v>565331.5</v>
      </c>
      <c r="F1603" s="2">
        <v>565331.5</v>
      </c>
      <c r="G1603" s="2">
        <v>25676.41</v>
      </c>
    </row>
    <row r="1604" spans="1:7" x14ac:dyDescent="0.25">
      <c r="A1604" s="1">
        <v>45078</v>
      </c>
      <c r="B1604" t="s">
        <v>91</v>
      </c>
      <c r="C1604" t="s">
        <v>12</v>
      </c>
      <c r="D1604">
        <v>0</v>
      </c>
      <c r="E1604" s="2">
        <v>5562.26</v>
      </c>
      <c r="F1604" s="2">
        <v>5562.26</v>
      </c>
      <c r="G1604" s="2">
        <v>40983.03</v>
      </c>
    </row>
    <row r="1605" spans="1:7" x14ac:dyDescent="0.25">
      <c r="A1605" s="1">
        <v>45078</v>
      </c>
      <c r="B1605" t="s">
        <v>9</v>
      </c>
      <c r="C1605" t="s">
        <v>78</v>
      </c>
      <c r="D1605">
        <v>0</v>
      </c>
      <c r="E1605">
        <v>0</v>
      </c>
      <c r="F1605">
        <v>0</v>
      </c>
      <c r="G1605" s="2">
        <v>249824.78</v>
      </c>
    </row>
    <row r="1606" spans="1:7" x14ac:dyDescent="0.25">
      <c r="A1606" s="1">
        <v>45078</v>
      </c>
      <c r="B1606" t="s">
        <v>15</v>
      </c>
      <c r="C1606" t="s">
        <v>25</v>
      </c>
      <c r="D1606" s="2">
        <v>45000</v>
      </c>
      <c r="E1606" s="2">
        <v>64168.86</v>
      </c>
      <c r="F1606" s="2">
        <v>45370.79</v>
      </c>
      <c r="G1606" s="2">
        <v>248605.05</v>
      </c>
    </row>
    <row r="1607" spans="1:7" x14ac:dyDescent="0.25">
      <c r="A1607" s="1">
        <v>45078</v>
      </c>
      <c r="B1607" t="s">
        <v>11</v>
      </c>
      <c r="C1607" t="s">
        <v>55</v>
      </c>
      <c r="D1607" s="2">
        <v>233163.9</v>
      </c>
      <c r="E1607" s="2">
        <v>514553.84</v>
      </c>
      <c r="F1607" s="2">
        <v>547091.26</v>
      </c>
      <c r="G1607" s="2">
        <v>19876.77</v>
      </c>
    </row>
    <row r="1608" spans="1:7" x14ac:dyDescent="0.25">
      <c r="A1608" s="1">
        <v>45078</v>
      </c>
      <c r="B1608" t="s">
        <v>28</v>
      </c>
      <c r="C1608" t="s">
        <v>29</v>
      </c>
      <c r="D1608" s="2">
        <v>189337973.16999999</v>
      </c>
      <c r="E1608" s="2">
        <v>189135621.11000001</v>
      </c>
      <c r="F1608" s="2">
        <v>129154080.31</v>
      </c>
      <c r="G1608">
        <v>0</v>
      </c>
    </row>
    <row r="1609" spans="1:7" x14ac:dyDescent="0.25">
      <c r="A1609" s="1">
        <v>45078</v>
      </c>
      <c r="B1609" t="s">
        <v>13</v>
      </c>
      <c r="C1609" t="s">
        <v>12</v>
      </c>
      <c r="D1609">
        <v>0</v>
      </c>
      <c r="E1609" s="2">
        <v>387261.64</v>
      </c>
      <c r="F1609" s="2">
        <v>387261.64</v>
      </c>
      <c r="G1609">
        <v>130.9</v>
      </c>
    </row>
    <row r="1610" spans="1:7" x14ac:dyDescent="0.25">
      <c r="A1610" s="1">
        <v>45078</v>
      </c>
      <c r="B1610" t="s">
        <v>27</v>
      </c>
      <c r="C1610" t="s">
        <v>57</v>
      </c>
      <c r="D1610" s="2">
        <v>286085</v>
      </c>
      <c r="E1610" s="2">
        <v>961652.91</v>
      </c>
      <c r="F1610" s="2">
        <v>953793.99</v>
      </c>
      <c r="G1610">
        <v>0</v>
      </c>
    </row>
    <row r="1611" spans="1:7" x14ac:dyDescent="0.25">
      <c r="A1611" s="1">
        <v>45078</v>
      </c>
      <c r="B1611" t="s">
        <v>17</v>
      </c>
      <c r="C1611" t="s">
        <v>68</v>
      </c>
      <c r="D1611">
        <v>0</v>
      </c>
      <c r="E1611">
        <v>0</v>
      </c>
      <c r="F1611">
        <v>0</v>
      </c>
      <c r="G1611" s="2">
        <v>21600</v>
      </c>
    </row>
    <row r="1612" spans="1:7" x14ac:dyDescent="0.25">
      <c r="A1612" s="1">
        <v>45078</v>
      </c>
      <c r="B1612" t="s">
        <v>28</v>
      </c>
      <c r="C1612" t="s">
        <v>22</v>
      </c>
      <c r="D1612" s="2">
        <v>83750.880000000005</v>
      </c>
      <c r="E1612" s="2">
        <v>46211272.270000003</v>
      </c>
      <c r="F1612" s="2">
        <v>46214689.390000001</v>
      </c>
      <c r="G1612">
        <v>0</v>
      </c>
    </row>
    <row r="1613" spans="1:7" x14ac:dyDescent="0.25">
      <c r="A1613" s="1">
        <v>45078</v>
      </c>
      <c r="B1613" t="s">
        <v>37</v>
      </c>
      <c r="C1613" t="s">
        <v>50</v>
      </c>
      <c r="D1613" s="2">
        <v>-1542.45</v>
      </c>
      <c r="E1613">
        <v>0</v>
      </c>
      <c r="F1613">
        <v>0</v>
      </c>
      <c r="G1613">
        <v>0</v>
      </c>
    </row>
    <row r="1614" spans="1:7" x14ac:dyDescent="0.25">
      <c r="A1614" s="1">
        <v>45078</v>
      </c>
      <c r="B1614" t="s">
        <v>28</v>
      </c>
      <c r="C1614" t="s">
        <v>99</v>
      </c>
      <c r="D1614" s="2">
        <v>550000</v>
      </c>
      <c r="E1614" s="2">
        <v>5325886.43</v>
      </c>
      <c r="F1614" s="2">
        <v>5288903.53</v>
      </c>
      <c r="G1614">
        <v>0</v>
      </c>
    </row>
    <row r="1615" spans="1:7" x14ac:dyDescent="0.25">
      <c r="A1615" s="1">
        <v>45078</v>
      </c>
      <c r="B1615" t="s">
        <v>31</v>
      </c>
      <c r="C1615" t="s">
        <v>82</v>
      </c>
      <c r="D1615" s="2">
        <v>281843752247.21997</v>
      </c>
      <c r="E1615" s="2">
        <v>5607864928.8999996</v>
      </c>
      <c r="F1615" s="2">
        <v>5607864928.8999996</v>
      </c>
      <c r="G1615">
        <v>0</v>
      </c>
    </row>
    <row r="1616" spans="1:7" x14ac:dyDescent="0.25">
      <c r="A1616" s="1">
        <v>45078</v>
      </c>
      <c r="B1616" t="s">
        <v>45</v>
      </c>
      <c r="C1616" t="s">
        <v>10</v>
      </c>
      <c r="D1616" s="2">
        <v>13333.34</v>
      </c>
      <c r="E1616" s="2">
        <v>13333.34</v>
      </c>
      <c r="F1616" s="2">
        <v>13333.34</v>
      </c>
      <c r="G1616">
        <v>0</v>
      </c>
    </row>
    <row r="1617" spans="1:7" x14ac:dyDescent="0.25">
      <c r="A1617" s="1">
        <v>45078</v>
      </c>
      <c r="B1617" t="s">
        <v>37</v>
      </c>
      <c r="C1617" t="s">
        <v>16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 s="1">
        <v>45078</v>
      </c>
      <c r="B1618" t="s">
        <v>23</v>
      </c>
      <c r="C1618" t="s">
        <v>64</v>
      </c>
      <c r="D1618" s="2">
        <v>458910.25</v>
      </c>
      <c r="E1618" s="2">
        <v>344052.44</v>
      </c>
      <c r="F1618" s="2">
        <v>259927.36</v>
      </c>
      <c r="G1618" s="2">
        <v>594447.94999999995</v>
      </c>
    </row>
    <row r="1619" spans="1:7" x14ac:dyDescent="0.25">
      <c r="A1619" s="1">
        <v>45078</v>
      </c>
      <c r="B1619" t="s">
        <v>65</v>
      </c>
      <c r="C1619" t="s">
        <v>14</v>
      </c>
      <c r="D1619" s="2">
        <v>5237088</v>
      </c>
      <c r="E1619" s="2">
        <v>12953958.16</v>
      </c>
      <c r="F1619" s="2">
        <v>24685310.649999999</v>
      </c>
      <c r="G1619" s="2">
        <v>16456903.75</v>
      </c>
    </row>
    <row r="1620" spans="1:7" x14ac:dyDescent="0.25">
      <c r="A1620" s="1">
        <v>45078</v>
      </c>
      <c r="B1620" t="s">
        <v>13</v>
      </c>
      <c r="C1620" t="s">
        <v>79</v>
      </c>
      <c r="D1620" s="2">
        <v>347000</v>
      </c>
      <c r="E1620" s="2">
        <v>2547000</v>
      </c>
      <c r="F1620" s="2">
        <v>2200000</v>
      </c>
      <c r="G1620" s="2">
        <v>6300</v>
      </c>
    </row>
    <row r="1621" spans="1:7" x14ac:dyDescent="0.25">
      <c r="A1621" s="1">
        <v>45078</v>
      </c>
      <c r="B1621" t="s">
        <v>28</v>
      </c>
      <c r="C1621" t="s">
        <v>75</v>
      </c>
      <c r="D1621" s="2">
        <v>500000</v>
      </c>
      <c r="E1621" s="2">
        <v>229429.33</v>
      </c>
      <c r="F1621" s="2">
        <v>235138.67</v>
      </c>
      <c r="G1621">
        <v>0</v>
      </c>
    </row>
    <row r="1622" spans="1:7" x14ac:dyDescent="0.25">
      <c r="A1622" s="1">
        <v>45078</v>
      </c>
      <c r="B1622" t="s">
        <v>36</v>
      </c>
      <c r="C1622" t="s">
        <v>57</v>
      </c>
      <c r="D1622" s="2">
        <v>3249.41</v>
      </c>
      <c r="E1622" s="2">
        <v>5610012.7300000004</v>
      </c>
      <c r="F1622" s="2">
        <v>5582522.2800000003</v>
      </c>
      <c r="G1622" s="2">
        <v>152430.35999999999</v>
      </c>
    </row>
    <row r="1623" spans="1:7" x14ac:dyDescent="0.25">
      <c r="A1623" s="1">
        <v>45078</v>
      </c>
      <c r="B1623" t="s">
        <v>17</v>
      </c>
      <c r="C1623" t="s">
        <v>48</v>
      </c>
      <c r="D1623">
        <v>0</v>
      </c>
      <c r="E1623">
        <v>0</v>
      </c>
      <c r="F1623">
        <v>0</v>
      </c>
      <c r="G1623" s="2">
        <v>13232706.859999999</v>
      </c>
    </row>
    <row r="1624" spans="1:7" x14ac:dyDescent="0.25">
      <c r="A1624" s="1">
        <v>45078</v>
      </c>
      <c r="B1624" t="s">
        <v>26</v>
      </c>
      <c r="C1624" t="s">
        <v>40</v>
      </c>
      <c r="D1624" s="2">
        <v>1710759.34</v>
      </c>
      <c r="E1624" s="2">
        <v>91235.54</v>
      </c>
      <c r="F1624" s="2">
        <v>89590.95</v>
      </c>
      <c r="G1624">
        <v>0</v>
      </c>
    </row>
    <row r="1625" spans="1:7" x14ac:dyDescent="0.25">
      <c r="A1625" s="1">
        <v>45078</v>
      </c>
      <c r="B1625" t="s">
        <v>15</v>
      </c>
      <c r="C1625" t="s">
        <v>12</v>
      </c>
      <c r="D1625" s="2">
        <v>451155.19</v>
      </c>
      <c r="E1625" s="2">
        <v>428904.98</v>
      </c>
      <c r="F1625" s="2">
        <v>405192.26</v>
      </c>
      <c r="G1625" s="2">
        <v>6108.5</v>
      </c>
    </row>
    <row r="1626" spans="1:7" x14ac:dyDescent="0.25">
      <c r="A1626" s="1">
        <v>45078</v>
      </c>
      <c r="B1626" t="s">
        <v>83</v>
      </c>
      <c r="C1626" t="s">
        <v>42</v>
      </c>
      <c r="D1626" s="2">
        <v>136032.32999999999</v>
      </c>
      <c r="E1626" s="2">
        <v>253090.95</v>
      </c>
      <c r="F1626" s="2">
        <v>241658.42</v>
      </c>
      <c r="G1626">
        <v>0</v>
      </c>
    </row>
    <row r="1627" spans="1:7" x14ac:dyDescent="0.25">
      <c r="A1627" s="1">
        <v>45078</v>
      </c>
      <c r="B1627" t="s">
        <v>69</v>
      </c>
      <c r="C1627" t="s">
        <v>84</v>
      </c>
      <c r="D1627">
        <v>0</v>
      </c>
      <c r="E1627">
        <v>0</v>
      </c>
      <c r="F1627">
        <v>0</v>
      </c>
      <c r="G1627" s="2">
        <v>15973.13</v>
      </c>
    </row>
    <row r="1628" spans="1:7" x14ac:dyDescent="0.25">
      <c r="A1628" s="1">
        <v>45078</v>
      </c>
      <c r="B1628" t="s">
        <v>91</v>
      </c>
      <c r="C1628" t="s">
        <v>14</v>
      </c>
      <c r="D1628" s="2">
        <v>1834002.41</v>
      </c>
      <c r="E1628" s="2">
        <v>13324390.619999999</v>
      </c>
      <c r="F1628" s="2">
        <v>10602929.02</v>
      </c>
      <c r="G1628" s="2">
        <v>11551877.359999999</v>
      </c>
    </row>
    <row r="1629" spans="1:7" x14ac:dyDescent="0.25">
      <c r="A1629" s="1">
        <v>45078</v>
      </c>
      <c r="B1629" t="s">
        <v>43</v>
      </c>
      <c r="C1629" t="s">
        <v>25</v>
      </c>
      <c r="D1629" s="2">
        <v>239425.41</v>
      </c>
      <c r="E1629" s="2">
        <v>696396.72</v>
      </c>
      <c r="F1629" s="2">
        <v>765127.26</v>
      </c>
      <c r="G1629" s="2">
        <v>20880</v>
      </c>
    </row>
    <row r="1630" spans="1:7" x14ac:dyDescent="0.25">
      <c r="A1630" s="1">
        <v>45078</v>
      </c>
      <c r="B1630" t="s">
        <v>52</v>
      </c>
      <c r="C1630" t="s">
        <v>25</v>
      </c>
      <c r="D1630">
        <v>0</v>
      </c>
      <c r="E1630">
        <v>0</v>
      </c>
      <c r="F1630">
        <v>0</v>
      </c>
      <c r="G1630" s="2">
        <v>64116</v>
      </c>
    </row>
    <row r="1631" spans="1:7" x14ac:dyDescent="0.25">
      <c r="A1631" s="1">
        <v>45078</v>
      </c>
      <c r="B1631" t="s">
        <v>23</v>
      </c>
      <c r="C1631" t="s">
        <v>79</v>
      </c>
      <c r="D1631" s="2">
        <v>12122931.99</v>
      </c>
      <c r="E1631" s="2">
        <v>10433232.18</v>
      </c>
      <c r="F1631" s="2">
        <v>68343.06</v>
      </c>
      <c r="G1631" s="2">
        <v>168556.29</v>
      </c>
    </row>
    <row r="1632" spans="1:7" x14ac:dyDescent="0.25">
      <c r="A1632" s="1">
        <v>45078</v>
      </c>
      <c r="B1632" t="s">
        <v>13</v>
      </c>
      <c r="C1632" t="s">
        <v>59</v>
      </c>
      <c r="D1632">
        <v>0</v>
      </c>
      <c r="E1632">
        <v>0</v>
      </c>
      <c r="F1632">
        <v>0</v>
      </c>
      <c r="G1632" s="2">
        <v>183023</v>
      </c>
    </row>
    <row r="1633" spans="1:7" x14ac:dyDescent="0.25">
      <c r="A1633" s="1">
        <v>45078</v>
      </c>
      <c r="B1633" t="s">
        <v>13</v>
      </c>
      <c r="C1633" t="s">
        <v>22</v>
      </c>
      <c r="D1633" s="2">
        <v>706140</v>
      </c>
      <c r="E1633" s="2">
        <v>15433628.91</v>
      </c>
      <c r="F1633" s="2">
        <v>15437198.09</v>
      </c>
      <c r="G1633">
        <v>0</v>
      </c>
    </row>
    <row r="1634" spans="1:7" x14ac:dyDescent="0.25">
      <c r="A1634" s="1">
        <v>45078</v>
      </c>
      <c r="B1634" t="s">
        <v>36</v>
      </c>
      <c r="C1634" t="s">
        <v>121</v>
      </c>
      <c r="D1634" s="2">
        <v>35860318.119999997</v>
      </c>
      <c r="E1634" s="2">
        <v>2258000</v>
      </c>
      <c r="F1634" s="2">
        <v>2258000</v>
      </c>
      <c r="G1634">
        <v>0</v>
      </c>
    </row>
    <row r="1635" spans="1:7" x14ac:dyDescent="0.25">
      <c r="A1635" s="1">
        <v>45078</v>
      </c>
      <c r="B1635" t="s">
        <v>47</v>
      </c>
      <c r="C1635" t="s">
        <v>24</v>
      </c>
      <c r="D1635" s="2">
        <v>6458098.7699999996</v>
      </c>
      <c r="E1635" s="2">
        <v>49002.33</v>
      </c>
      <c r="F1635" s="2">
        <v>64788.67</v>
      </c>
      <c r="G1635">
        <v>0</v>
      </c>
    </row>
    <row r="1636" spans="1:7" x14ac:dyDescent="0.25">
      <c r="A1636" s="1">
        <v>45078</v>
      </c>
      <c r="B1636" t="s">
        <v>43</v>
      </c>
      <c r="C1636" t="s">
        <v>34</v>
      </c>
      <c r="D1636">
        <v>0</v>
      </c>
      <c r="E1636">
        <v>0</v>
      </c>
      <c r="F1636" s="2">
        <v>37602.03</v>
      </c>
      <c r="G1636">
        <v>0</v>
      </c>
    </row>
    <row r="1637" spans="1:7" x14ac:dyDescent="0.25">
      <c r="A1637" s="1">
        <v>45078</v>
      </c>
      <c r="B1637" t="s">
        <v>15</v>
      </c>
      <c r="C1637" t="s">
        <v>79</v>
      </c>
      <c r="D1637" s="2">
        <v>477870.8</v>
      </c>
      <c r="E1637" s="2">
        <v>85211.97</v>
      </c>
      <c r="F1637" s="2">
        <v>81045.58</v>
      </c>
      <c r="G1637">
        <v>0</v>
      </c>
    </row>
    <row r="1638" spans="1:7" x14ac:dyDescent="0.25">
      <c r="A1638" s="1">
        <v>45078</v>
      </c>
      <c r="B1638" t="s">
        <v>69</v>
      </c>
      <c r="C1638" t="s">
        <v>12</v>
      </c>
      <c r="D1638" s="2">
        <v>55213.93</v>
      </c>
      <c r="E1638" s="2">
        <v>92551.91</v>
      </c>
      <c r="F1638" s="2">
        <v>87263.58</v>
      </c>
      <c r="G1638" s="2">
        <v>512096</v>
      </c>
    </row>
    <row r="1639" spans="1:7" x14ac:dyDescent="0.25">
      <c r="A1639" s="1">
        <v>45078</v>
      </c>
      <c r="B1639" t="s">
        <v>7</v>
      </c>
      <c r="C1639" t="s">
        <v>8</v>
      </c>
      <c r="D1639">
        <v>0</v>
      </c>
      <c r="E1639" s="2">
        <v>5500</v>
      </c>
      <c r="F1639" s="2">
        <v>5500</v>
      </c>
      <c r="G1639" s="2">
        <v>210282.28</v>
      </c>
    </row>
    <row r="1640" spans="1:7" x14ac:dyDescent="0.25">
      <c r="A1640" s="1">
        <v>45078</v>
      </c>
      <c r="B1640" t="s">
        <v>13</v>
      </c>
      <c r="C1640" t="s">
        <v>39</v>
      </c>
      <c r="D1640">
        <v>0</v>
      </c>
      <c r="E1640">
        <v>0</v>
      </c>
      <c r="F1640">
        <v>0</v>
      </c>
      <c r="G1640" s="2">
        <v>5945.55</v>
      </c>
    </row>
    <row r="1641" spans="1:7" x14ac:dyDescent="0.25">
      <c r="A1641" s="1">
        <v>45078</v>
      </c>
      <c r="B1641" t="s">
        <v>21</v>
      </c>
      <c r="C1641" t="s">
        <v>39</v>
      </c>
      <c r="D1641" s="2">
        <v>345915</v>
      </c>
      <c r="E1641">
        <v>0</v>
      </c>
      <c r="F1641">
        <v>0</v>
      </c>
      <c r="G1641" s="2">
        <v>417341.83</v>
      </c>
    </row>
    <row r="1642" spans="1:7" x14ac:dyDescent="0.25">
      <c r="A1642" s="1">
        <v>45078</v>
      </c>
      <c r="B1642" t="s">
        <v>33</v>
      </c>
      <c r="C1642" t="s">
        <v>94</v>
      </c>
      <c r="D1642" s="2">
        <v>583037.48</v>
      </c>
      <c r="E1642" s="2">
        <v>412190.32</v>
      </c>
      <c r="F1642" s="2">
        <v>389411.37</v>
      </c>
      <c r="G1642" s="2">
        <v>148086.49</v>
      </c>
    </row>
    <row r="1643" spans="1:7" x14ac:dyDescent="0.25">
      <c r="A1643" s="1">
        <v>45078</v>
      </c>
      <c r="B1643" t="s">
        <v>15</v>
      </c>
      <c r="C1643" t="s">
        <v>88</v>
      </c>
      <c r="D1643" s="2">
        <v>7869289.0099999998</v>
      </c>
      <c r="E1643" s="2">
        <v>1961686.06</v>
      </c>
      <c r="F1643" s="2">
        <v>1967438.81</v>
      </c>
      <c r="G1643" s="2">
        <v>34748.51</v>
      </c>
    </row>
    <row r="1644" spans="1:7" x14ac:dyDescent="0.25">
      <c r="A1644" s="1">
        <v>45078</v>
      </c>
      <c r="B1644" t="s">
        <v>33</v>
      </c>
      <c r="C1644" t="s">
        <v>16</v>
      </c>
      <c r="D1644" s="2">
        <v>6000000</v>
      </c>
      <c r="E1644" s="2">
        <v>4112887.97</v>
      </c>
      <c r="F1644" s="2">
        <v>4070039.49</v>
      </c>
      <c r="G1644" s="2">
        <v>62223.74</v>
      </c>
    </row>
    <row r="1645" spans="1:7" x14ac:dyDescent="0.25">
      <c r="A1645" s="1">
        <v>45078</v>
      </c>
      <c r="B1645" t="s">
        <v>54</v>
      </c>
      <c r="C1645" t="s">
        <v>74</v>
      </c>
      <c r="D1645" s="2">
        <v>245002.42</v>
      </c>
      <c r="E1645" s="2">
        <v>53731.58</v>
      </c>
      <c r="F1645" s="2">
        <v>29687.74</v>
      </c>
      <c r="G1645" s="2">
        <v>625517.72</v>
      </c>
    </row>
    <row r="1646" spans="1:7" x14ac:dyDescent="0.25">
      <c r="A1646" s="1">
        <v>45078</v>
      </c>
      <c r="B1646" t="s">
        <v>11</v>
      </c>
      <c r="C1646" t="s">
        <v>71</v>
      </c>
      <c r="D1646" s="2">
        <v>20365960.02</v>
      </c>
      <c r="E1646" s="2">
        <v>422626.9</v>
      </c>
      <c r="F1646" s="2">
        <v>426652.66</v>
      </c>
      <c r="G1646" s="2">
        <v>-4007.55</v>
      </c>
    </row>
    <row r="1647" spans="1:7" x14ac:dyDescent="0.25">
      <c r="A1647" s="1">
        <v>45078</v>
      </c>
      <c r="B1647" t="s">
        <v>52</v>
      </c>
      <c r="C1647" t="s">
        <v>78</v>
      </c>
      <c r="D1647">
        <v>0</v>
      </c>
      <c r="E1647">
        <v>0</v>
      </c>
      <c r="F1647">
        <v>0</v>
      </c>
      <c r="G1647" s="2">
        <v>46788.58</v>
      </c>
    </row>
    <row r="1648" spans="1:7" x14ac:dyDescent="0.25">
      <c r="A1648" s="1">
        <v>45078</v>
      </c>
      <c r="B1648" t="s">
        <v>31</v>
      </c>
      <c r="C1648" t="s">
        <v>92</v>
      </c>
      <c r="D1648" s="2">
        <v>45279564353.650002</v>
      </c>
      <c r="E1648" s="2">
        <v>1504198980.75</v>
      </c>
      <c r="F1648" s="2">
        <v>1502707430.48</v>
      </c>
      <c r="G1648">
        <v>0</v>
      </c>
    </row>
    <row r="1649" spans="1:7" x14ac:dyDescent="0.25">
      <c r="A1649" s="1">
        <v>45078</v>
      </c>
      <c r="B1649" t="s">
        <v>69</v>
      </c>
      <c r="C1649" t="s">
        <v>34</v>
      </c>
      <c r="D1649" s="2">
        <v>69807.33</v>
      </c>
      <c r="E1649" s="2">
        <v>67297.009999999995</v>
      </c>
      <c r="F1649" s="2">
        <v>37659.68</v>
      </c>
      <c r="G1649" s="2">
        <v>163719.46</v>
      </c>
    </row>
    <row r="1650" spans="1:7" x14ac:dyDescent="0.25">
      <c r="A1650" s="1">
        <v>45078</v>
      </c>
      <c r="B1650" t="s">
        <v>15</v>
      </c>
      <c r="C1650" t="s">
        <v>72</v>
      </c>
      <c r="D1650" s="2">
        <v>18505.57</v>
      </c>
      <c r="E1650" s="2">
        <v>2579650.5299999998</v>
      </c>
      <c r="F1650" s="2">
        <v>2572074.5099999998</v>
      </c>
      <c r="G1650">
        <v>0</v>
      </c>
    </row>
    <row r="1651" spans="1:7" x14ac:dyDescent="0.25">
      <c r="A1651" s="1">
        <v>45078</v>
      </c>
      <c r="B1651" t="s">
        <v>21</v>
      </c>
      <c r="C1651" t="s">
        <v>80</v>
      </c>
      <c r="D1651" s="2">
        <v>284000</v>
      </c>
      <c r="E1651" s="2">
        <v>51144479.189999998</v>
      </c>
      <c r="F1651" s="2">
        <v>51055436.009999998</v>
      </c>
      <c r="G1651" s="2">
        <v>1381699.74</v>
      </c>
    </row>
    <row r="1652" spans="1:7" x14ac:dyDescent="0.25">
      <c r="A1652" s="1">
        <v>45078</v>
      </c>
      <c r="B1652" t="s">
        <v>91</v>
      </c>
      <c r="C1652" t="s">
        <v>51</v>
      </c>
      <c r="D1652" s="2">
        <v>346525.93</v>
      </c>
      <c r="E1652" s="2">
        <v>30831.63</v>
      </c>
      <c r="F1652" s="2">
        <v>30831.63</v>
      </c>
      <c r="G1652">
        <v>0</v>
      </c>
    </row>
    <row r="1653" spans="1:7" x14ac:dyDescent="0.25">
      <c r="A1653" s="1">
        <v>45078</v>
      </c>
      <c r="B1653" t="s">
        <v>41</v>
      </c>
      <c r="C1653" t="s">
        <v>85</v>
      </c>
      <c r="D1653" s="2">
        <v>680730.94</v>
      </c>
      <c r="E1653" s="2">
        <v>585321.18999999994</v>
      </c>
      <c r="F1653" s="2">
        <v>585321.18999999994</v>
      </c>
      <c r="G1653" s="2">
        <v>79504.97</v>
      </c>
    </row>
    <row r="1654" spans="1:7" x14ac:dyDescent="0.25">
      <c r="A1654" s="1">
        <v>45078</v>
      </c>
      <c r="B1654" t="s">
        <v>62</v>
      </c>
      <c r="C1654" t="s">
        <v>12</v>
      </c>
      <c r="D1654" s="2">
        <v>141182.39999999999</v>
      </c>
      <c r="E1654" s="2">
        <v>62865.87</v>
      </c>
      <c r="F1654" s="2">
        <v>62923.69</v>
      </c>
      <c r="G1654" s="2">
        <v>30043.9</v>
      </c>
    </row>
    <row r="1655" spans="1:7" x14ac:dyDescent="0.25">
      <c r="A1655" s="1">
        <v>45078</v>
      </c>
      <c r="B1655" t="s">
        <v>41</v>
      </c>
      <c r="C1655" t="s">
        <v>42</v>
      </c>
      <c r="D1655" s="2">
        <v>159986.44</v>
      </c>
      <c r="E1655">
        <v>0</v>
      </c>
      <c r="F1655">
        <v>0</v>
      </c>
      <c r="G1655">
        <v>0</v>
      </c>
    </row>
    <row r="1656" spans="1:7" x14ac:dyDescent="0.25">
      <c r="A1656" s="1">
        <v>45078</v>
      </c>
      <c r="B1656" t="s">
        <v>33</v>
      </c>
      <c r="C1656" t="s">
        <v>35</v>
      </c>
      <c r="D1656">
        <v>0</v>
      </c>
      <c r="E1656" s="2">
        <v>37834756.270000003</v>
      </c>
      <c r="F1656" s="2">
        <v>37834756.270000003</v>
      </c>
      <c r="G1656">
        <v>50</v>
      </c>
    </row>
    <row r="1657" spans="1:7" x14ac:dyDescent="0.25">
      <c r="A1657" s="1">
        <v>45078</v>
      </c>
      <c r="B1657" t="s">
        <v>65</v>
      </c>
      <c r="C1657" t="s">
        <v>73</v>
      </c>
      <c r="D1657" s="2">
        <v>1979028629.26</v>
      </c>
      <c r="E1657" s="2">
        <v>1978403146.8699999</v>
      </c>
      <c r="F1657" s="2">
        <v>1978401837.52</v>
      </c>
      <c r="G1657" s="2">
        <v>400497.98</v>
      </c>
    </row>
    <row r="1658" spans="1:7" x14ac:dyDescent="0.25">
      <c r="A1658" s="1">
        <v>45078</v>
      </c>
      <c r="B1658" t="s">
        <v>23</v>
      </c>
      <c r="C1658" t="s">
        <v>16</v>
      </c>
      <c r="D1658" s="2">
        <v>56385000</v>
      </c>
      <c r="E1658" s="2">
        <v>20967536.84</v>
      </c>
      <c r="F1658" s="2">
        <v>21486410.34</v>
      </c>
      <c r="G1658" s="2">
        <v>6949452.2300000004</v>
      </c>
    </row>
    <row r="1659" spans="1:7" x14ac:dyDescent="0.25">
      <c r="A1659" s="1">
        <v>45078</v>
      </c>
      <c r="B1659" t="s">
        <v>37</v>
      </c>
      <c r="C1659" t="s">
        <v>22</v>
      </c>
      <c r="D1659" s="2">
        <v>3300000</v>
      </c>
      <c r="E1659" s="2">
        <v>6559292.2199999997</v>
      </c>
      <c r="F1659" s="2">
        <v>5688585.3300000001</v>
      </c>
      <c r="G1659">
        <v>0</v>
      </c>
    </row>
    <row r="1660" spans="1:7" x14ac:dyDescent="0.25">
      <c r="A1660" s="1">
        <v>45078</v>
      </c>
      <c r="B1660" t="s">
        <v>23</v>
      </c>
      <c r="C1660" t="s">
        <v>90</v>
      </c>
      <c r="D1660">
        <v>0</v>
      </c>
      <c r="E1660" s="2">
        <v>44428.45</v>
      </c>
      <c r="F1660" s="2">
        <v>44168.88</v>
      </c>
      <c r="G1660">
        <v>0</v>
      </c>
    </row>
    <row r="1661" spans="1:7" x14ac:dyDescent="0.25">
      <c r="A1661" s="1">
        <v>45078</v>
      </c>
      <c r="B1661" t="s">
        <v>52</v>
      </c>
      <c r="C1661" t="s">
        <v>22</v>
      </c>
      <c r="D1661">
        <v>0</v>
      </c>
      <c r="E1661" s="2">
        <v>671150.18</v>
      </c>
      <c r="F1661" s="2">
        <v>568392.31999999995</v>
      </c>
      <c r="G1661">
        <v>0</v>
      </c>
    </row>
    <row r="1662" spans="1:7" x14ac:dyDescent="0.25">
      <c r="A1662" s="1">
        <v>45078</v>
      </c>
      <c r="B1662" t="s">
        <v>13</v>
      </c>
      <c r="C1662" t="s">
        <v>78</v>
      </c>
      <c r="D1662">
        <v>0</v>
      </c>
      <c r="E1662">
        <v>0</v>
      </c>
      <c r="F1662">
        <v>0</v>
      </c>
      <c r="G1662">
        <v>647.58000000000004</v>
      </c>
    </row>
    <row r="1663" spans="1:7" x14ac:dyDescent="0.25">
      <c r="A1663" s="1">
        <v>45078</v>
      </c>
      <c r="B1663" t="s">
        <v>65</v>
      </c>
      <c r="C1663" t="s">
        <v>22</v>
      </c>
      <c r="D1663" s="2">
        <v>68941470.069999993</v>
      </c>
      <c r="E1663" s="2">
        <v>31826014.16</v>
      </c>
      <c r="F1663" s="2">
        <v>31826014.16</v>
      </c>
      <c r="G1663">
        <v>0</v>
      </c>
    </row>
    <row r="1664" spans="1:7" x14ac:dyDescent="0.25">
      <c r="A1664" s="1">
        <v>45078</v>
      </c>
      <c r="B1664" t="s">
        <v>9</v>
      </c>
      <c r="C1664" t="s">
        <v>24</v>
      </c>
      <c r="D1664" s="2">
        <v>635249.48</v>
      </c>
      <c r="E1664">
        <v>0</v>
      </c>
      <c r="F1664">
        <v>0</v>
      </c>
      <c r="G1664" s="2">
        <v>207719.7</v>
      </c>
    </row>
    <row r="1665" spans="1:7" x14ac:dyDescent="0.25">
      <c r="A1665" s="1">
        <v>45078</v>
      </c>
      <c r="B1665" t="s">
        <v>31</v>
      </c>
      <c r="C1665" t="s">
        <v>97</v>
      </c>
      <c r="D1665">
        <v>0</v>
      </c>
      <c r="E1665" s="2">
        <v>7231820208.1400003</v>
      </c>
      <c r="F1665" s="2">
        <v>7231820208.1400003</v>
      </c>
      <c r="G1665">
        <v>0</v>
      </c>
    </row>
    <row r="1666" spans="1:7" x14ac:dyDescent="0.25">
      <c r="A1666" s="1">
        <v>45078</v>
      </c>
      <c r="B1666" t="s">
        <v>36</v>
      </c>
      <c r="C1666" t="s">
        <v>75</v>
      </c>
      <c r="D1666" s="2">
        <v>-1155000</v>
      </c>
      <c r="E1666" s="2">
        <v>218708.91</v>
      </c>
      <c r="F1666" s="2">
        <v>211288.06</v>
      </c>
      <c r="G1666">
        <v>110.18</v>
      </c>
    </row>
    <row r="1667" spans="1:7" x14ac:dyDescent="0.25">
      <c r="A1667" s="1">
        <v>45078</v>
      </c>
      <c r="B1667" t="s">
        <v>33</v>
      </c>
      <c r="C1667" t="s">
        <v>14</v>
      </c>
      <c r="D1667" s="2">
        <v>56396451.530000001</v>
      </c>
      <c r="E1667" s="2">
        <v>134676466.63999999</v>
      </c>
      <c r="F1667" s="2">
        <v>235256625.63</v>
      </c>
      <c r="G1667" s="2">
        <v>16725290.140000001</v>
      </c>
    </row>
    <row r="1668" spans="1:7" x14ac:dyDescent="0.25">
      <c r="A1668" s="1">
        <v>45078</v>
      </c>
      <c r="B1668" t="s">
        <v>33</v>
      </c>
      <c r="C1668" t="s">
        <v>55</v>
      </c>
      <c r="D1668" s="2">
        <v>65304.75</v>
      </c>
      <c r="E1668">
        <v>0</v>
      </c>
      <c r="F1668" s="2">
        <v>1360.16</v>
      </c>
      <c r="G1668" s="2">
        <v>84292.7</v>
      </c>
    </row>
    <row r="1669" spans="1:7" x14ac:dyDescent="0.25">
      <c r="A1669" s="1">
        <v>45078</v>
      </c>
      <c r="B1669" t="s">
        <v>13</v>
      </c>
      <c r="C1669" t="s">
        <v>71</v>
      </c>
      <c r="D1669" s="2">
        <v>-5529.49</v>
      </c>
      <c r="E1669" s="2">
        <v>27230.1</v>
      </c>
      <c r="F1669" s="2">
        <v>8613.7800000000007</v>
      </c>
      <c r="G1669" s="2">
        <v>-66879.95</v>
      </c>
    </row>
    <row r="1670" spans="1:7" x14ac:dyDescent="0.25">
      <c r="A1670" s="1">
        <v>45078</v>
      </c>
      <c r="B1670" t="s">
        <v>9</v>
      </c>
      <c r="C1670" t="s">
        <v>72</v>
      </c>
      <c r="D1670" s="2">
        <v>4231249.63</v>
      </c>
      <c r="E1670" s="2">
        <v>35741183.759999998</v>
      </c>
      <c r="F1670" s="2">
        <v>36472096.229999997</v>
      </c>
      <c r="G1670">
        <v>0</v>
      </c>
    </row>
    <row r="1671" spans="1:7" x14ac:dyDescent="0.25">
      <c r="A1671" s="1">
        <v>45078</v>
      </c>
      <c r="B1671" t="s">
        <v>47</v>
      </c>
      <c r="C1671" t="s">
        <v>14</v>
      </c>
      <c r="D1671" s="2">
        <v>1800000</v>
      </c>
      <c r="E1671" s="2">
        <v>2707262.36</v>
      </c>
      <c r="F1671" s="2">
        <v>907262.36</v>
      </c>
      <c r="G1671" s="2">
        <v>691777.88</v>
      </c>
    </row>
    <row r="1672" spans="1:7" x14ac:dyDescent="0.25">
      <c r="A1672" s="1">
        <v>45078</v>
      </c>
      <c r="B1672" t="s">
        <v>21</v>
      </c>
      <c r="C1672" t="s">
        <v>57</v>
      </c>
      <c r="D1672">
        <v>0</v>
      </c>
      <c r="E1672" s="2">
        <v>12051.78</v>
      </c>
      <c r="F1672" s="2">
        <v>12051.78</v>
      </c>
      <c r="G1672" s="2">
        <v>694481.38</v>
      </c>
    </row>
    <row r="1673" spans="1:7" x14ac:dyDescent="0.25">
      <c r="A1673" s="1">
        <v>45078</v>
      </c>
      <c r="B1673" t="s">
        <v>9</v>
      </c>
      <c r="C1673" t="s">
        <v>106</v>
      </c>
      <c r="D1673" s="2">
        <v>4091722.64</v>
      </c>
      <c r="E1673" s="2">
        <v>2443956.04</v>
      </c>
      <c r="F1673" s="2">
        <v>2460724.89</v>
      </c>
      <c r="G1673" s="2">
        <v>18742121.350000001</v>
      </c>
    </row>
    <row r="1674" spans="1:7" x14ac:dyDescent="0.25">
      <c r="A1674" s="1">
        <v>45078</v>
      </c>
      <c r="B1674" t="s">
        <v>69</v>
      </c>
      <c r="C1674" t="s">
        <v>55</v>
      </c>
      <c r="D1674" s="2">
        <v>77657.91</v>
      </c>
      <c r="E1674" s="2">
        <v>65306.45</v>
      </c>
      <c r="F1674" s="2">
        <v>72656.17</v>
      </c>
      <c r="G1674" s="2">
        <v>13474.54</v>
      </c>
    </row>
    <row r="1675" spans="1:7" x14ac:dyDescent="0.25">
      <c r="A1675" s="1">
        <v>45078</v>
      </c>
      <c r="B1675" t="s">
        <v>7</v>
      </c>
      <c r="C1675" t="s">
        <v>97</v>
      </c>
      <c r="D1675" s="2">
        <v>1062420</v>
      </c>
      <c r="E1675" s="2">
        <v>2940028348.4200001</v>
      </c>
      <c r="F1675" s="2">
        <v>2940028348.4200001</v>
      </c>
      <c r="G1675" s="2">
        <v>439505.53</v>
      </c>
    </row>
    <row r="1676" spans="1:7" x14ac:dyDescent="0.25">
      <c r="A1676" s="1">
        <v>45078</v>
      </c>
      <c r="B1676" t="s">
        <v>26</v>
      </c>
      <c r="C1676" t="s">
        <v>48</v>
      </c>
      <c r="D1676" s="2">
        <v>8195560.96</v>
      </c>
      <c r="E1676" s="2">
        <v>687132.53</v>
      </c>
      <c r="F1676" s="2">
        <v>665757.77</v>
      </c>
      <c r="G1676" s="2">
        <v>52606.38</v>
      </c>
    </row>
    <row r="1677" spans="1:7" x14ac:dyDescent="0.25">
      <c r="A1677" s="1">
        <v>45078</v>
      </c>
      <c r="B1677" t="s">
        <v>65</v>
      </c>
      <c r="C1677" t="s">
        <v>34</v>
      </c>
      <c r="D1677" s="2">
        <v>29712.95</v>
      </c>
      <c r="E1677" s="2">
        <v>16563.57</v>
      </c>
      <c r="F1677" s="2">
        <v>18099.77</v>
      </c>
      <c r="G1677" s="2">
        <v>71794.44</v>
      </c>
    </row>
    <row r="1678" spans="1:7" x14ac:dyDescent="0.25">
      <c r="A1678" s="1">
        <v>45078</v>
      </c>
      <c r="B1678" t="s">
        <v>26</v>
      </c>
      <c r="C1678" t="s">
        <v>24</v>
      </c>
      <c r="D1678" s="2">
        <v>74272.399999999994</v>
      </c>
      <c r="E1678" s="2">
        <v>72562.73</v>
      </c>
      <c r="F1678" s="2">
        <v>79685.899999999994</v>
      </c>
      <c r="G1678">
        <v>0</v>
      </c>
    </row>
    <row r="1679" spans="1:7" x14ac:dyDescent="0.25">
      <c r="A1679" s="1">
        <v>45078</v>
      </c>
      <c r="B1679" t="s">
        <v>13</v>
      </c>
      <c r="C1679" t="s">
        <v>67</v>
      </c>
      <c r="D1679" s="2">
        <v>11994091.210000001</v>
      </c>
      <c r="E1679" s="2">
        <v>12694132.279999999</v>
      </c>
      <c r="F1679" s="2">
        <v>14552276.5</v>
      </c>
      <c r="G1679" s="2">
        <v>3463202.31</v>
      </c>
    </row>
    <row r="1680" spans="1:7" x14ac:dyDescent="0.25">
      <c r="A1680" s="1">
        <v>45078</v>
      </c>
      <c r="B1680" t="s">
        <v>37</v>
      </c>
      <c r="C1680" t="s">
        <v>72</v>
      </c>
      <c r="D1680">
        <v>0</v>
      </c>
      <c r="E1680" s="2">
        <v>1718164.58</v>
      </c>
      <c r="F1680" s="2">
        <v>1697936.32</v>
      </c>
      <c r="G1680">
        <v>0</v>
      </c>
    </row>
    <row r="1681" spans="1:7" x14ac:dyDescent="0.25">
      <c r="A1681" s="1">
        <v>45078</v>
      </c>
      <c r="B1681" t="s">
        <v>47</v>
      </c>
      <c r="C1681" t="s">
        <v>72</v>
      </c>
      <c r="D1681" s="2">
        <v>15185.37</v>
      </c>
      <c r="E1681" s="2">
        <v>2850901.85</v>
      </c>
      <c r="F1681" s="2">
        <v>2397160.0499999998</v>
      </c>
      <c r="G1681">
        <v>0</v>
      </c>
    </row>
    <row r="1682" spans="1:7" x14ac:dyDescent="0.25">
      <c r="A1682" s="1">
        <v>45078</v>
      </c>
      <c r="B1682" t="s">
        <v>7</v>
      </c>
      <c r="C1682" t="s">
        <v>94</v>
      </c>
      <c r="D1682">
        <v>0</v>
      </c>
      <c r="E1682" s="2">
        <v>40352575.850000001</v>
      </c>
      <c r="F1682" s="2">
        <v>40352575.850000001</v>
      </c>
      <c r="G1682" s="2">
        <v>23466203.77</v>
      </c>
    </row>
    <row r="1683" spans="1:7" x14ac:dyDescent="0.25">
      <c r="A1683" s="1">
        <v>45078</v>
      </c>
      <c r="B1683" t="s">
        <v>62</v>
      </c>
      <c r="C1683" t="s">
        <v>22</v>
      </c>
      <c r="D1683" s="2">
        <v>1135823</v>
      </c>
      <c r="E1683" s="2">
        <v>5592285.8300000001</v>
      </c>
      <c r="F1683" s="2">
        <v>5623673.4400000004</v>
      </c>
      <c r="G1683">
        <v>0</v>
      </c>
    </row>
    <row r="1684" spans="1:7" x14ac:dyDescent="0.25">
      <c r="A1684" s="1">
        <v>45078</v>
      </c>
      <c r="B1684" t="s">
        <v>36</v>
      </c>
      <c r="C1684" t="s">
        <v>70</v>
      </c>
      <c r="D1684" s="2">
        <v>400000</v>
      </c>
      <c r="E1684" s="2">
        <v>3292629672.3800001</v>
      </c>
      <c r="F1684" s="2">
        <v>3258510454.5999999</v>
      </c>
      <c r="G1684">
        <v>0</v>
      </c>
    </row>
    <row r="1685" spans="1:7" x14ac:dyDescent="0.25">
      <c r="A1685" s="1">
        <v>45078</v>
      </c>
      <c r="B1685" t="s">
        <v>23</v>
      </c>
      <c r="C1685" t="s">
        <v>55</v>
      </c>
      <c r="D1685" s="2">
        <v>15456337.880000001</v>
      </c>
      <c r="E1685" s="2">
        <v>4415294.21</v>
      </c>
      <c r="F1685" s="2">
        <v>3566402.98</v>
      </c>
      <c r="G1685" s="2">
        <v>3903824.9</v>
      </c>
    </row>
    <row r="1686" spans="1:7" x14ac:dyDescent="0.25">
      <c r="A1686" s="1">
        <v>45078</v>
      </c>
      <c r="B1686" t="s">
        <v>23</v>
      </c>
      <c r="C1686" t="s">
        <v>96</v>
      </c>
      <c r="D1686" s="2">
        <v>10464365.9</v>
      </c>
      <c r="E1686" s="2">
        <v>29242610.609999999</v>
      </c>
      <c r="F1686" s="2">
        <v>28313102.73</v>
      </c>
      <c r="G1686" s="2">
        <v>107647.06</v>
      </c>
    </row>
    <row r="1687" spans="1:7" x14ac:dyDescent="0.25">
      <c r="A1687" s="1">
        <v>45078</v>
      </c>
      <c r="B1687" t="s">
        <v>33</v>
      </c>
      <c r="C1687" t="s">
        <v>99</v>
      </c>
      <c r="D1687" s="2">
        <v>77450936.849999994</v>
      </c>
      <c r="E1687" s="2">
        <v>20900387.260000002</v>
      </c>
      <c r="F1687" s="2">
        <v>24912803.789999999</v>
      </c>
      <c r="G1687" s="2">
        <v>20230.240000000002</v>
      </c>
    </row>
    <row r="1688" spans="1:7" x14ac:dyDescent="0.25">
      <c r="A1688" s="1">
        <v>45078</v>
      </c>
      <c r="B1688" t="s">
        <v>23</v>
      </c>
      <c r="C1688" t="s">
        <v>14</v>
      </c>
      <c r="D1688" s="2">
        <v>6823004.5499999998</v>
      </c>
      <c r="E1688" s="2">
        <v>15386866.560000001</v>
      </c>
      <c r="F1688" s="2">
        <v>23925877.890000001</v>
      </c>
      <c r="G1688" s="2">
        <v>2294414.4700000002</v>
      </c>
    </row>
    <row r="1689" spans="1:7" x14ac:dyDescent="0.25">
      <c r="A1689" s="1">
        <v>45078</v>
      </c>
      <c r="B1689" t="s">
        <v>54</v>
      </c>
      <c r="C1689" t="s">
        <v>98</v>
      </c>
      <c r="D1689" s="2">
        <v>5766000.9400000004</v>
      </c>
      <c r="E1689" s="2">
        <v>250682.05</v>
      </c>
      <c r="F1689" s="2">
        <v>250682.05</v>
      </c>
      <c r="G1689" s="2">
        <v>600486.84</v>
      </c>
    </row>
    <row r="1690" spans="1:7" x14ac:dyDescent="0.25">
      <c r="A1690" s="1">
        <v>45078</v>
      </c>
      <c r="B1690" t="s">
        <v>11</v>
      </c>
      <c r="C1690" t="s">
        <v>39</v>
      </c>
      <c r="D1690" s="2">
        <v>690185.12</v>
      </c>
      <c r="E1690" s="2">
        <v>593387.65</v>
      </c>
      <c r="F1690" s="2">
        <v>606990.17000000004</v>
      </c>
      <c r="G1690" s="2">
        <v>130387.5</v>
      </c>
    </row>
    <row r="1691" spans="1:7" x14ac:dyDescent="0.25">
      <c r="A1691" s="1">
        <v>45078</v>
      </c>
      <c r="B1691" t="s">
        <v>54</v>
      </c>
      <c r="C1691" t="s">
        <v>100</v>
      </c>
      <c r="D1691" s="2">
        <v>1195724.51</v>
      </c>
      <c r="E1691" s="2">
        <v>674894.02</v>
      </c>
      <c r="F1691" s="2">
        <v>581366.81999999995</v>
      </c>
      <c r="G1691" s="2">
        <v>332201.07</v>
      </c>
    </row>
    <row r="1692" spans="1:7" x14ac:dyDescent="0.25">
      <c r="A1692" s="1">
        <v>45078</v>
      </c>
      <c r="B1692" t="s">
        <v>36</v>
      </c>
      <c r="C1692" t="s">
        <v>49</v>
      </c>
      <c r="D1692" s="2">
        <v>35264540.219999999</v>
      </c>
      <c r="E1692" s="2">
        <v>36186580.619999997</v>
      </c>
      <c r="F1692" s="2">
        <v>39121769.810000002</v>
      </c>
      <c r="G1692">
        <v>0</v>
      </c>
    </row>
    <row r="1693" spans="1:7" x14ac:dyDescent="0.25">
      <c r="A1693" s="1">
        <v>45078</v>
      </c>
      <c r="B1693" t="s">
        <v>23</v>
      </c>
      <c r="C1693" t="s">
        <v>75</v>
      </c>
      <c r="D1693" s="2">
        <v>1830167.58</v>
      </c>
      <c r="E1693" s="2">
        <v>1476897.48</v>
      </c>
      <c r="F1693" s="2">
        <v>1481736.11</v>
      </c>
      <c r="G1693" s="2">
        <v>411868.47</v>
      </c>
    </row>
    <row r="1694" spans="1:7" x14ac:dyDescent="0.25">
      <c r="A1694" s="1">
        <v>45078</v>
      </c>
      <c r="B1694" t="s">
        <v>54</v>
      </c>
      <c r="C1694" t="s">
        <v>102</v>
      </c>
      <c r="D1694" s="2">
        <v>791361.03</v>
      </c>
      <c r="E1694" s="2">
        <v>3124463.54</v>
      </c>
      <c r="F1694" s="2">
        <v>3261896.57</v>
      </c>
      <c r="G1694" s="2">
        <v>1303431.92</v>
      </c>
    </row>
    <row r="1695" spans="1:7" x14ac:dyDescent="0.25">
      <c r="A1695" s="1">
        <v>45078</v>
      </c>
      <c r="B1695" t="s">
        <v>41</v>
      </c>
      <c r="C1695" t="s">
        <v>57</v>
      </c>
      <c r="D1695">
        <v>0</v>
      </c>
      <c r="E1695" s="2">
        <v>17934.3</v>
      </c>
      <c r="F1695">
        <v>0</v>
      </c>
      <c r="G1695" s="2">
        <v>19207.240000000002</v>
      </c>
    </row>
    <row r="1696" spans="1:7" x14ac:dyDescent="0.25">
      <c r="A1696" s="1">
        <v>45078</v>
      </c>
      <c r="B1696" t="s">
        <v>31</v>
      </c>
      <c r="C1696" t="s">
        <v>53</v>
      </c>
      <c r="D1696" s="2">
        <v>1781895563.6500001</v>
      </c>
      <c r="E1696" s="2">
        <v>1781895563.6500001</v>
      </c>
      <c r="F1696" s="2">
        <v>1781895563.6500001</v>
      </c>
      <c r="G1696">
        <v>0</v>
      </c>
    </row>
    <row r="1697" spans="1:7" x14ac:dyDescent="0.25">
      <c r="A1697" s="1">
        <v>45078</v>
      </c>
      <c r="B1697" t="s">
        <v>54</v>
      </c>
      <c r="C1697" t="s">
        <v>34</v>
      </c>
      <c r="D1697" s="2">
        <v>276516.12</v>
      </c>
      <c r="E1697" s="2">
        <v>187311.26</v>
      </c>
      <c r="F1697" s="2">
        <v>189278.44</v>
      </c>
      <c r="G1697" s="2">
        <v>1098884.3500000001</v>
      </c>
    </row>
    <row r="1698" spans="1:7" x14ac:dyDescent="0.25">
      <c r="A1698" s="1">
        <v>45078</v>
      </c>
      <c r="B1698" t="s">
        <v>54</v>
      </c>
      <c r="C1698" t="s">
        <v>76</v>
      </c>
      <c r="D1698" s="2">
        <v>3732771.32</v>
      </c>
      <c r="E1698" s="2">
        <v>37912.39</v>
      </c>
      <c r="F1698" s="2">
        <v>45570.85</v>
      </c>
      <c r="G1698" s="2">
        <v>4953224.6399999997</v>
      </c>
    </row>
    <row r="1699" spans="1:7" x14ac:dyDescent="0.25">
      <c r="A1699" s="1">
        <v>45078</v>
      </c>
      <c r="B1699" t="s">
        <v>33</v>
      </c>
      <c r="C1699" t="s">
        <v>64</v>
      </c>
      <c r="D1699" s="2">
        <v>1502733.75</v>
      </c>
      <c r="E1699" s="2">
        <v>2208156.85</v>
      </c>
      <c r="F1699" s="2">
        <v>2457071.8199999998</v>
      </c>
      <c r="G1699" s="2">
        <v>107911.24</v>
      </c>
    </row>
    <row r="1700" spans="1:7" x14ac:dyDescent="0.25">
      <c r="A1700" s="1">
        <v>45078</v>
      </c>
      <c r="B1700" t="s">
        <v>27</v>
      </c>
      <c r="C1700" t="s">
        <v>72</v>
      </c>
      <c r="D1700">
        <v>0</v>
      </c>
      <c r="E1700" s="2">
        <v>8936896.6699999999</v>
      </c>
      <c r="F1700" s="2">
        <v>6605448.2800000003</v>
      </c>
      <c r="G1700">
        <v>0</v>
      </c>
    </row>
    <row r="1701" spans="1:7" x14ac:dyDescent="0.25">
      <c r="A1701" s="1">
        <v>45078</v>
      </c>
      <c r="B1701" t="s">
        <v>23</v>
      </c>
      <c r="C1701" t="s">
        <v>103</v>
      </c>
      <c r="D1701" s="2">
        <v>957985.55</v>
      </c>
      <c r="E1701" s="2">
        <v>3570583.9</v>
      </c>
      <c r="F1701" s="2">
        <v>3734077.67</v>
      </c>
      <c r="G1701" s="2">
        <v>1563612.37</v>
      </c>
    </row>
    <row r="1702" spans="1:7" x14ac:dyDescent="0.25">
      <c r="A1702" s="1">
        <v>45078</v>
      </c>
      <c r="B1702" t="s">
        <v>54</v>
      </c>
      <c r="C1702" t="s">
        <v>14</v>
      </c>
      <c r="D1702" s="2">
        <v>11607955.279999999</v>
      </c>
      <c r="E1702" s="2">
        <v>1308821.74</v>
      </c>
      <c r="F1702" s="2">
        <v>1282974.08</v>
      </c>
      <c r="G1702" s="2">
        <v>5773326.5800000001</v>
      </c>
    </row>
    <row r="1703" spans="1:7" x14ac:dyDescent="0.25">
      <c r="A1703" s="1">
        <v>45078</v>
      </c>
      <c r="B1703" t="s">
        <v>91</v>
      </c>
      <c r="C1703" t="s">
        <v>72</v>
      </c>
      <c r="D1703" s="2">
        <v>3413058.19</v>
      </c>
      <c r="E1703" s="2">
        <v>7886095.54</v>
      </c>
      <c r="F1703" s="2">
        <v>7965134.6900000004</v>
      </c>
      <c r="G1703">
        <v>0</v>
      </c>
    </row>
    <row r="1704" spans="1:7" x14ac:dyDescent="0.25">
      <c r="A1704" s="1">
        <v>45078</v>
      </c>
      <c r="B1704" t="s">
        <v>36</v>
      </c>
      <c r="C1704" t="s">
        <v>38</v>
      </c>
      <c r="D1704" s="2">
        <v>1500132</v>
      </c>
      <c r="E1704" s="2">
        <v>4129021787.0900002</v>
      </c>
      <c r="F1704" s="2">
        <v>4050031062.6300001</v>
      </c>
      <c r="G1704">
        <v>0</v>
      </c>
    </row>
    <row r="1705" spans="1:7" x14ac:dyDescent="0.25">
      <c r="A1705" s="1">
        <v>45078</v>
      </c>
      <c r="B1705" t="s">
        <v>54</v>
      </c>
      <c r="C1705" t="s">
        <v>22</v>
      </c>
      <c r="D1705" s="2">
        <v>7215555.0899999999</v>
      </c>
      <c r="E1705" s="2">
        <v>20338569.789999999</v>
      </c>
      <c r="F1705" s="2">
        <v>20338569.789999999</v>
      </c>
      <c r="G1705">
        <v>0</v>
      </c>
    </row>
    <row r="1706" spans="1:7" x14ac:dyDescent="0.25">
      <c r="A1706" s="1">
        <v>45078</v>
      </c>
      <c r="B1706" t="s">
        <v>26</v>
      </c>
      <c r="C1706" t="s">
        <v>68</v>
      </c>
      <c r="D1706" s="2">
        <v>68060.850000000006</v>
      </c>
      <c r="E1706" s="2">
        <v>250587.2</v>
      </c>
      <c r="F1706" s="2">
        <v>198925.2</v>
      </c>
      <c r="G1706" s="2">
        <v>846374.07</v>
      </c>
    </row>
    <row r="1707" spans="1:7" x14ac:dyDescent="0.25">
      <c r="A1707" s="1">
        <v>45078</v>
      </c>
      <c r="B1707" t="s">
        <v>7</v>
      </c>
      <c r="C1707" t="s">
        <v>55</v>
      </c>
      <c r="D1707" s="2">
        <v>69883623.310000002</v>
      </c>
      <c r="E1707" s="2">
        <v>72781988.010000005</v>
      </c>
      <c r="F1707" s="2">
        <v>72791021.5</v>
      </c>
      <c r="G1707" s="2">
        <v>-3895.44</v>
      </c>
    </row>
    <row r="1708" spans="1:7" x14ac:dyDescent="0.25">
      <c r="A1708" s="1">
        <v>45078</v>
      </c>
      <c r="B1708" t="s">
        <v>62</v>
      </c>
      <c r="C1708" t="s">
        <v>64</v>
      </c>
      <c r="D1708" s="2">
        <v>1880053.71</v>
      </c>
      <c r="E1708" s="2">
        <v>753912.91</v>
      </c>
      <c r="F1708" s="2">
        <v>725312.6</v>
      </c>
      <c r="G1708" s="2">
        <v>5379667.96</v>
      </c>
    </row>
    <row r="1709" spans="1:7" x14ac:dyDescent="0.25">
      <c r="A1709" s="1">
        <v>45078</v>
      </c>
      <c r="B1709" t="s">
        <v>62</v>
      </c>
      <c r="C1709" t="s">
        <v>72</v>
      </c>
      <c r="D1709" s="2">
        <v>1855120.06</v>
      </c>
      <c r="E1709" s="2">
        <v>2919209.7</v>
      </c>
      <c r="F1709" s="2">
        <v>2954067.04</v>
      </c>
      <c r="G1709">
        <v>0</v>
      </c>
    </row>
    <row r="1710" spans="1:7" x14ac:dyDescent="0.25">
      <c r="A1710" s="1">
        <v>45078</v>
      </c>
      <c r="B1710" t="s">
        <v>54</v>
      </c>
      <c r="C1710" t="s">
        <v>101</v>
      </c>
      <c r="D1710" s="2">
        <v>149515760.28</v>
      </c>
      <c r="E1710" s="2">
        <v>223743.69</v>
      </c>
      <c r="F1710" s="2">
        <v>226421.43</v>
      </c>
      <c r="G1710" s="2">
        <v>40297509.159999996</v>
      </c>
    </row>
    <row r="1711" spans="1:7" x14ac:dyDescent="0.25">
      <c r="A1711" s="1">
        <v>45078</v>
      </c>
      <c r="B1711" t="s">
        <v>47</v>
      </c>
      <c r="C1711" t="s">
        <v>16</v>
      </c>
      <c r="D1711" s="2">
        <v>-170344989.56999999</v>
      </c>
      <c r="E1711" s="2">
        <v>1144605.69</v>
      </c>
      <c r="F1711" s="2">
        <v>1144605.69</v>
      </c>
      <c r="G1711" s="2">
        <v>10207511.699999999</v>
      </c>
    </row>
    <row r="1712" spans="1:7" x14ac:dyDescent="0.25">
      <c r="A1712" s="1">
        <v>45078</v>
      </c>
      <c r="B1712" t="s">
        <v>62</v>
      </c>
      <c r="C1712" t="s">
        <v>107</v>
      </c>
      <c r="D1712" s="2">
        <v>179213750.00999999</v>
      </c>
      <c r="E1712" s="2">
        <v>166173075.63999999</v>
      </c>
      <c r="F1712" s="2">
        <v>16593057.52</v>
      </c>
      <c r="G1712" s="2">
        <v>14868698.48</v>
      </c>
    </row>
    <row r="1713" spans="1:7" x14ac:dyDescent="0.25">
      <c r="A1713" s="1">
        <v>45078</v>
      </c>
      <c r="B1713" t="s">
        <v>36</v>
      </c>
      <c r="C1713" t="s">
        <v>58</v>
      </c>
      <c r="D1713" s="2">
        <v>27563629.949999999</v>
      </c>
      <c r="E1713" s="2">
        <v>81915.8</v>
      </c>
      <c r="F1713" s="2">
        <v>81915.8</v>
      </c>
      <c r="G1713" s="2">
        <v>15374407.51</v>
      </c>
    </row>
    <row r="1714" spans="1:7" x14ac:dyDescent="0.25">
      <c r="A1714" s="1">
        <v>45078</v>
      </c>
      <c r="B1714" t="s">
        <v>43</v>
      </c>
      <c r="C1714" t="s">
        <v>12</v>
      </c>
      <c r="D1714" s="2">
        <v>338589.44</v>
      </c>
      <c r="E1714" s="2">
        <v>214479.86</v>
      </c>
      <c r="F1714" s="2">
        <v>120934.64</v>
      </c>
      <c r="G1714">
        <v>0</v>
      </c>
    </row>
    <row r="1715" spans="1:7" x14ac:dyDescent="0.25">
      <c r="A1715" s="1">
        <v>45078</v>
      </c>
      <c r="B1715" t="s">
        <v>54</v>
      </c>
      <c r="C1715" t="s">
        <v>55</v>
      </c>
      <c r="D1715" s="2">
        <v>86858.65</v>
      </c>
      <c r="E1715" s="2">
        <v>43163.91</v>
      </c>
      <c r="F1715" s="2">
        <v>34416.03</v>
      </c>
      <c r="G1715" s="2">
        <v>14349.98</v>
      </c>
    </row>
    <row r="1716" spans="1:7" x14ac:dyDescent="0.25">
      <c r="A1716" s="1">
        <v>45078</v>
      </c>
      <c r="B1716" t="s">
        <v>17</v>
      </c>
      <c r="C1716" t="s">
        <v>72</v>
      </c>
      <c r="D1716" s="2">
        <v>10841.6</v>
      </c>
      <c r="E1716" s="2">
        <v>14363083.08</v>
      </c>
      <c r="F1716" s="2">
        <v>20385595</v>
      </c>
      <c r="G1716">
        <v>0</v>
      </c>
    </row>
    <row r="1717" spans="1:7" x14ac:dyDescent="0.25">
      <c r="A1717" s="1">
        <v>45078</v>
      </c>
      <c r="B1717" t="s">
        <v>28</v>
      </c>
      <c r="C1717" t="s">
        <v>57</v>
      </c>
      <c r="D1717" s="2">
        <v>16578829.869999999</v>
      </c>
      <c r="E1717" s="2">
        <v>259805349.71000001</v>
      </c>
      <c r="F1717" s="2">
        <v>215350189.63</v>
      </c>
      <c r="G1717" s="2">
        <v>14408012.619999999</v>
      </c>
    </row>
    <row r="1718" spans="1:7" x14ac:dyDescent="0.25">
      <c r="A1718" s="1">
        <v>45078</v>
      </c>
      <c r="B1718" t="s">
        <v>91</v>
      </c>
      <c r="C1718" t="s">
        <v>109</v>
      </c>
      <c r="D1718" s="2">
        <v>263864595.56999999</v>
      </c>
      <c r="E1718" s="2">
        <v>84608079.290000007</v>
      </c>
      <c r="F1718" s="2">
        <v>86704836.319999993</v>
      </c>
      <c r="G1718" s="2">
        <v>8675628.4900000002</v>
      </c>
    </row>
    <row r="1719" spans="1:7" x14ac:dyDescent="0.25">
      <c r="A1719" s="1">
        <v>45078</v>
      </c>
      <c r="B1719" t="s">
        <v>54</v>
      </c>
      <c r="C1719" t="s">
        <v>79</v>
      </c>
      <c r="D1719" s="2">
        <v>16335.78</v>
      </c>
      <c r="E1719" s="2">
        <v>87686.97</v>
      </c>
      <c r="F1719" s="2">
        <v>79784.3</v>
      </c>
      <c r="G1719" s="2">
        <v>119185.96</v>
      </c>
    </row>
    <row r="1720" spans="1:7" x14ac:dyDescent="0.25">
      <c r="A1720" s="1">
        <v>45078</v>
      </c>
      <c r="B1720" t="s">
        <v>69</v>
      </c>
      <c r="C1720" t="s">
        <v>72</v>
      </c>
      <c r="D1720" s="2">
        <v>7114409.4900000002</v>
      </c>
      <c r="E1720" s="2">
        <v>5234306.1900000004</v>
      </c>
      <c r="F1720" s="2">
        <v>5225666.76</v>
      </c>
      <c r="G1720">
        <v>0</v>
      </c>
    </row>
    <row r="1721" spans="1:7" x14ac:dyDescent="0.25">
      <c r="A1721" s="1">
        <v>45078</v>
      </c>
      <c r="B1721" t="s">
        <v>52</v>
      </c>
      <c r="C1721" t="s">
        <v>57</v>
      </c>
      <c r="D1721" s="2">
        <v>57442128.530000001</v>
      </c>
      <c r="E1721" s="2">
        <v>62562064.409999996</v>
      </c>
      <c r="F1721" s="2">
        <v>52100672.049999997</v>
      </c>
      <c r="G1721" s="2">
        <v>1715.07</v>
      </c>
    </row>
    <row r="1722" spans="1:7" x14ac:dyDescent="0.25">
      <c r="A1722" s="1">
        <v>45078</v>
      </c>
      <c r="B1722" t="s">
        <v>17</v>
      </c>
      <c r="C1722" t="s">
        <v>126</v>
      </c>
      <c r="D1722" s="2">
        <v>7556163.4699999997</v>
      </c>
      <c r="E1722" s="2">
        <v>11998569.23</v>
      </c>
      <c r="F1722" s="2">
        <v>16191779.98</v>
      </c>
      <c r="G1722" s="2">
        <v>2683937.0299999998</v>
      </c>
    </row>
    <row r="1723" spans="1:7" x14ac:dyDescent="0.25">
      <c r="A1723" s="1">
        <v>45078</v>
      </c>
      <c r="B1723" t="s">
        <v>13</v>
      </c>
      <c r="C1723" t="s">
        <v>75</v>
      </c>
      <c r="D1723" s="2">
        <v>100000</v>
      </c>
      <c r="E1723" s="2">
        <v>34716.86</v>
      </c>
      <c r="F1723" s="2">
        <v>34716.86</v>
      </c>
      <c r="G1723" s="2">
        <v>378679.42</v>
      </c>
    </row>
    <row r="1724" spans="1:7" x14ac:dyDescent="0.25">
      <c r="A1724" s="1">
        <v>45078</v>
      </c>
      <c r="B1724" t="s">
        <v>52</v>
      </c>
      <c r="C1724" t="s">
        <v>12</v>
      </c>
      <c r="D1724" s="2">
        <v>64887.199999999997</v>
      </c>
      <c r="E1724" s="2">
        <v>78156.98</v>
      </c>
      <c r="F1724" s="2">
        <v>106448.47</v>
      </c>
      <c r="G1724" s="2">
        <v>4416.51</v>
      </c>
    </row>
    <row r="1725" spans="1:7" x14ac:dyDescent="0.25">
      <c r="A1725" s="1">
        <v>45078</v>
      </c>
      <c r="B1725" t="s">
        <v>52</v>
      </c>
      <c r="C1725" t="s">
        <v>46</v>
      </c>
      <c r="D1725" s="2">
        <v>50000000</v>
      </c>
      <c r="E1725">
        <v>0</v>
      </c>
      <c r="F1725">
        <v>0</v>
      </c>
      <c r="G1725" s="2">
        <v>72450674.140000001</v>
      </c>
    </row>
    <row r="1726" spans="1:7" x14ac:dyDescent="0.25">
      <c r="A1726" s="1">
        <v>45078</v>
      </c>
      <c r="B1726" t="s">
        <v>33</v>
      </c>
      <c r="C1726" t="s">
        <v>76</v>
      </c>
      <c r="D1726" s="2">
        <v>7151714.5300000003</v>
      </c>
      <c r="E1726" s="2">
        <v>5780522.6600000001</v>
      </c>
      <c r="F1726" s="2">
        <v>6665236.2300000004</v>
      </c>
      <c r="G1726">
        <v>0</v>
      </c>
    </row>
    <row r="1727" spans="1:7" x14ac:dyDescent="0.25">
      <c r="A1727" s="1">
        <v>45078</v>
      </c>
      <c r="B1727" t="s">
        <v>54</v>
      </c>
      <c r="C1727" t="s">
        <v>110</v>
      </c>
      <c r="D1727">
        <v>0</v>
      </c>
      <c r="E1727" s="2">
        <v>67540</v>
      </c>
      <c r="F1727" s="2">
        <v>125540.42</v>
      </c>
      <c r="G1727">
        <v>0</v>
      </c>
    </row>
    <row r="1728" spans="1:7" x14ac:dyDescent="0.25">
      <c r="A1728" s="1">
        <v>45078</v>
      </c>
      <c r="B1728" t="s">
        <v>15</v>
      </c>
      <c r="C1728" t="s">
        <v>103</v>
      </c>
      <c r="D1728" s="2">
        <v>-22128.06</v>
      </c>
      <c r="E1728" s="2">
        <v>5982398.6699999999</v>
      </c>
      <c r="F1728" s="2">
        <v>5917338.4000000004</v>
      </c>
      <c r="G1728" s="2">
        <v>388595.14</v>
      </c>
    </row>
    <row r="1729" spans="1:7" x14ac:dyDescent="0.25">
      <c r="A1729" s="1">
        <v>45078</v>
      </c>
      <c r="B1729" t="s">
        <v>69</v>
      </c>
      <c r="C1729" t="s">
        <v>105</v>
      </c>
      <c r="D1729" s="2">
        <v>-447137.72</v>
      </c>
      <c r="E1729" s="2">
        <v>796886.75</v>
      </c>
      <c r="F1729" s="2">
        <v>722316.37</v>
      </c>
      <c r="G1729" s="2">
        <v>225265.77</v>
      </c>
    </row>
    <row r="1730" spans="1:7" x14ac:dyDescent="0.25">
      <c r="A1730" s="1">
        <v>45078</v>
      </c>
      <c r="B1730" t="s">
        <v>26</v>
      </c>
      <c r="C1730" t="s">
        <v>66</v>
      </c>
      <c r="D1730" s="2">
        <v>12444565.57</v>
      </c>
      <c r="E1730" s="2">
        <v>783414.59</v>
      </c>
      <c r="F1730" s="2">
        <v>434894.86</v>
      </c>
      <c r="G1730" s="2">
        <v>6723378.9000000004</v>
      </c>
    </row>
    <row r="1731" spans="1:7" x14ac:dyDescent="0.25">
      <c r="A1731" s="1">
        <v>45078</v>
      </c>
      <c r="B1731" t="s">
        <v>43</v>
      </c>
      <c r="C1731" t="s">
        <v>22</v>
      </c>
      <c r="D1731" s="2">
        <v>4763950.01</v>
      </c>
      <c r="E1731" s="2">
        <v>8829007.25</v>
      </c>
      <c r="F1731" s="2">
        <v>8829341.6899999995</v>
      </c>
      <c r="G1731">
        <v>0</v>
      </c>
    </row>
    <row r="1732" spans="1:7" x14ac:dyDescent="0.25">
      <c r="A1732" s="1">
        <v>45078</v>
      </c>
      <c r="B1732" t="s">
        <v>43</v>
      </c>
      <c r="C1732" t="s">
        <v>44</v>
      </c>
      <c r="D1732" s="2">
        <v>657898.80000000005</v>
      </c>
      <c r="E1732" s="2">
        <v>263024.62</v>
      </c>
      <c r="F1732" s="2">
        <v>241100.83</v>
      </c>
      <c r="G1732" s="2">
        <v>292246.52</v>
      </c>
    </row>
    <row r="1733" spans="1:7" x14ac:dyDescent="0.25">
      <c r="A1733" s="1">
        <v>45078</v>
      </c>
      <c r="B1733" t="s">
        <v>52</v>
      </c>
      <c r="C1733" t="s">
        <v>72</v>
      </c>
      <c r="D1733" s="2">
        <v>5996943.29</v>
      </c>
      <c r="E1733" s="2">
        <v>7624565.8700000001</v>
      </c>
      <c r="F1733" s="2">
        <v>7588614.3099999996</v>
      </c>
      <c r="G1733">
        <v>0</v>
      </c>
    </row>
    <row r="1734" spans="1:7" x14ac:dyDescent="0.25">
      <c r="A1734" s="1">
        <v>45078</v>
      </c>
      <c r="B1734" t="s">
        <v>54</v>
      </c>
      <c r="C1734" t="s">
        <v>108</v>
      </c>
      <c r="D1734" s="2">
        <v>334110.27</v>
      </c>
      <c r="E1734" s="2">
        <v>174555.16</v>
      </c>
      <c r="F1734" s="2">
        <v>50185.01</v>
      </c>
      <c r="G1734" s="2">
        <v>10231.450000000001</v>
      </c>
    </row>
    <row r="1735" spans="1:7" x14ac:dyDescent="0.25">
      <c r="A1735" s="1">
        <v>45078</v>
      </c>
      <c r="B1735" t="s">
        <v>17</v>
      </c>
      <c r="C1735" t="s">
        <v>55</v>
      </c>
      <c r="D1735" s="2">
        <v>742359.46</v>
      </c>
      <c r="E1735" s="2">
        <v>641049.56999999995</v>
      </c>
      <c r="F1735" s="2">
        <v>321874.37</v>
      </c>
      <c r="G1735" s="2">
        <v>898110.27</v>
      </c>
    </row>
    <row r="1736" spans="1:7" x14ac:dyDescent="0.25">
      <c r="A1736" s="1">
        <v>45078</v>
      </c>
      <c r="B1736" t="s">
        <v>104</v>
      </c>
      <c r="C1736" t="s">
        <v>108</v>
      </c>
      <c r="D1736" s="2">
        <v>1385591.97</v>
      </c>
      <c r="E1736" s="2">
        <v>11365930.310000001</v>
      </c>
      <c r="F1736" s="2">
        <v>11359628.84</v>
      </c>
      <c r="G1736" s="2">
        <v>8045453.5499999998</v>
      </c>
    </row>
    <row r="1737" spans="1:7" x14ac:dyDescent="0.25">
      <c r="A1737" s="1">
        <v>45078</v>
      </c>
      <c r="B1737" t="s">
        <v>23</v>
      </c>
      <c r="C1737" t="s">
        <v>77</v>
      </c>
      <c r="D1737">
        <v>0</v>
      </c>
      <c r="E1737">
        <v>0</v>
      </c>
      <c r="F1737">
        <v>0</v>
      </c>
      <c r="G1737" s="2">
        <v>2403.5500000000002</v>
      </c>
    </row>
    <row r="1738" spans="1:7" x14ac:dyDescent="0.25">
      <c r="A1738" s="1">
        <v>45078</v>
      </c>
      <c r="B1738" t="s">
        <v>47</v>
      </c>
      <c r="C1738" t="s">
        <v>76</v>
      </c>
      <c r="D1738" s="2">
        <v>11249956.74</v>
      </c>
      <c r="E1738" s="2">
        <v>28167173.609999999</v>
      </c>
      <c r="F1738" s="2">
        <v>40764224.609999999</v>
      </c>
      <c r="G1738" s="2">
        <v>21318700.620000001</v>
      </c>
    </row>
    <row r="1739" spans="1:7" x14ac:dyDescent="0.25">
      <c r="A1739" s="1">
        <v>45078</v>
      </c>
      <c r="B1739" t="s">
        <v>91</v>
      </c>
      <c r="C1739" t="s">
        <v>75</v>
      </c>
      <c r="D1739" s="2">
        <v>7857853.4100000001</v>
      </c>
      <c r="E1739" s="2">
        <v>14874418.050000001</v>
      </c>
      <c r="F1739" s="2">
        <v>13449505.15</v>
      </c>
      <c r="G1739" s="2">
        <v>7750126.6500000004</v>
      </c>
    </row>
    <row r="1740" spans="1:7" x14ac:dyDescent="0.25">
      <c r="A1740" s="1">
        <v>45078</v>
      </c>
      <c r="B1740" t="s">
        <v>69</v>
      </c>
      <c r="C1740" t="s">
        <v>77</v>
      </c>
      <c r="D1740" s="2">
        <v>53000</v>
      </c>
      <c r="E1740" s="2">
        <v>155329.51</v>
      </c>
      <c r="F1740" s="2">
        <v>155329.51</v>
      </c>
      <c r="G1740">
        <v>0</v>
      </c>
    </row>
    <row r="1741" spans="1:7" x14ac:dyDescent="0.25">
      <c r="A1741" s="1">
        <v>45078</v>
      </c>
      <c r="B1741" t="s">
        <v>7</v>
      </c>
      <c r="C1741" t="s">
        <v>78</v>
      </c>
      <c r="D1741">
        <v>0</v>
      </c>
      <c r="E1741">
        <v>0</v>
      </c>
      <c r="F1741">
        <v>0</v>
      </c>
      <c r="G1741" s="2">
        <v>92853.82</v>
      </c>
    </row>
    <row r="1742" spans="1:7" x14ac:dyDescent="0.25">
      <c r="A1742" s="1">
        <v>45078</v>
      </c>
      <c r="B1742" t="s">
        <v>54</v>
      </c>
      <c r="C1742" t="s">
        <v>16</v>
      </c>
      <c r="D1742" s="2">
        <v>384507.91</v>
      </c>
      <c r="E1742" s="2">
        <v>46662</v>
      </c>
      <c r="F1742" s="2">
        <v>46662</v>
      </c>
      <c r="G1742" s="2">
        <v>28652.31</v>
      </c>
    </row>
    <row r="1743" spans="1:7" x14ac:dyDescent="0.25">
      <c r="A1743" s="1">
        <v>45078</v>
      </c>
      <c r="B1743" t="s">
        <v>43</v>
      </c>
      <c r="C1743" t="s">
        <v>75</v>
      </c>
      <c r="D1743" s="2">
        <v>32622643.41</v>
      </c>
      <c r="E1743" s="2">
        <v>32919325.489999998</v>
      </c>
      <c r="F1743" s="2">
        <v>32872129</v>
      </c>
      <c r="G1743" s="2">
        <v>26477.919999999998</v>
      </c>
    </row>
    <row r="1744" spans="1:7" x14ac:dyDescent="0.25">
      <c r="A1744" s="1">
        <v>45078</v>
      </c>
      <c r="B1744" t="s">
        <v>33</v>
      </c>
      <c r="C1744" t="s">
        <v>72</v>
      </c>
      <c r="D1744" s="2">
        <v>54453578.229999997</v>
      </c>
      <c r="E1744" s="2">
        <v>97890836.269999996</v>
      </c>
      <c r="F1744" s="2">
        <v>100179489.5</v>
      </c>
      <c r="G1744">
        <v>0</v>
      </c>
    </row>
    <row r="1745" spans="1:7" x14ac:dyDescent="0.25">
      <c r="A1745" s="1">
        <v>45078</v>
      </c>
      <c r="B1745" t="s">
        <v>33</v>
      </c>
      <c r="C1745" t="s">
        <v>66</v>
      </c>
      <c r="D1745" s="2">
        <v>8073708.8099999996</v>
      </c>
      <c r="E1745" s="2">
        <v>4944326.38</v>
      </c>
      <c r="F1745" s="2">
        <v>5049209.2</v>
      </c>
      <c r="G1745" s="2">
        <v>1306914.72</v>
      </c>
    </row>
    <row r="1746" spans="1:7" x14ac:dyDescent="0.25">
      <c r="A1746" s="1">
        <v>45078</v>
      </c>
      <c r="B1746" t="s">
        <v>33</v>
      </c>
      <c r="C1746" t="s">
        <v>12</v>
      </c>
      <c r="D1746" s="2">
        <v>1201869.8899999999</v>
      </c>
      <c r="E1746" s="2">
        <v>1144568.82</v>
      </c>
      <c r="F1746" s="2">
        <v>1038425.02</v>
      </c>
      <c r="G1746" s="2">
        <v>153634.85999999999</v>
      </c>
    </row>
    <row r="1747" spans="1:7" x14ac:dyDescent="0.25">
      <c r="A1747" s="1">
        <v>45078</v>
      </c>
      <c r="B1747" t="s">
        <v>28</v>
      </c>
      <c r="C1747" t="s">
        <v>90</v>
      </c>
      <c r="D1747" s="2">
        <v>399000</v>
      </c>
      <c r="E1747" s="2">
        <v>580462.64</v>
      </c>
      <c r="F1747" s="2">
        <v>563232.19999999995</v>
      </c>
      <c r="G1747">
        <v>0</v>
      </c>
    </row>
    <row r="1748" spans="1:7" x14ac:dyDescent="0.25">
      <c r="A1748" s="1">
        <v>45078</v>
      </c>
      <c r="B1748" t="s">
        <v>28</v>
      </c>
      <c r="C1748" t="s">
        <v>12</v>
      </c>
      <c r="D1748" s="2">
        <v>9490</v>
      </c>
      <c r="E1748" s="2">
        <v>23543.56</v>
      </c>
      <c r="F1748" s="2">
        <v>15660.92</v>
      </c>
      <c r="G1748">
        <v>0</v>
      </c>
    </row>
    <row r="1749" spans="1:7" x14ac:dyDescent="0.25">
      <c r="A1749" s="1">
        <v>45078</v>
      </c>
      <c r="B1749" t="s">
        <v>69</v>
      </c>
      <c r="C1749" t="s">
        <v>20</v>
      </c>
      <c r="D1749" s="2">
        <v>38851482.219999999</v>
      </c>
      <c r="E1749" s="2">
        <v>6799246.9000000004</v>
      </c>
      <c r="F1749" s="2">
        <v>3260436.06</v>
      </c>
      <c r="G1749" s="2">
        <v>1961689.06</v>
      </c>
    </row>
    <row r="1750" spans="1:7" x14ac:dyDescent="0.25">
      <c r="A1750" s="1">
        <v>45078</v>
      </c>
      <c r="B1750" t="s">
        <v>23</v>
      </c>
      <c r="C1750" t="s">
        <v>72</v>
      </c>
      <c r="D1750" s="2">
        <v>13769179.27</v>
      </c>
      <c r="E1750" s="2">
        <v>65808464.049999997</v>
      </c>
      <c r="F1750" s="2">
        <v>65764724.810000002</v>
      </c>
      <c r="G1750">
        <v>0</v>
      </c>
    </row>
    <row r="1751" spans="1:7" x14ac:dyDescent="0.25">
      <c r="A1751" s="1">
        <v>45078</v>
      </c>
      <c r="B1751" t="s">
        <v>26</v>
      </c>
      <c r="C1751" t="s">
        <v>22</v>
      </c>
      <c r="D1751">
        <v>0</v>
      </c>
      <c r="E1751" s="2">
        <v>6293398.6200000001</v>
      </c>
      <c r="F1751" s="2">
        <v>6293398.6200000001</v>
      </c>
      <c r="G1751">
        <v>0</v>
      </c>
    </row>
    <row r="1752" spans="1:7" x14ac:dyDescent="0.25">
      <c r="A1752" s="1">
        <v>45078</v>
      </c>
      <c r="B1752" t="s">
        <v>33</v>
      </c>
      <c r="C1752" t="s">
        <v>24</v>
      </c>
      <c r="D1752" s="2">
        <v>20000</v>
      </c>
      <c r="E1752" s="2">
        <v>118640.12</v>
      </c>
      <c r="F1752" s="2">
        <v>142743.01</v>
      </c>
      <c r="G1752">
        <v>0</v>
      </c>
    </row>
    <row r="1753" spans="1:7" x14ac:dyDescent="0.25">
      <c r="A1753" s="1">
        <v>45078</v>
      </c>
      <c r="B1753" t="s">
        <v>33</v>
      </c>
      <c r="C1753" t="s">
        <v>22</v>
      </c>
      <c r="D1753" s="2">
        <v>97190887.260000005</v>
      </c>
      <c r="E1753" s="2">
        <v>161467833.58000001</v>
      </c>
      <c r="F1753" s="2">
        <v>161452036.44</v>
      </c>
      <c r="G1753">
        <v>0</v>
      </c>
    </row>
    <row r="1754" spans="1:7" x14ac:dyDescent="0.25">
      <c r="A1754" s="1">
        <v>45078</v>
      </c>
      <c r="B1754" t="s">
        <v>17</v>
      </c>
      <c r="C1754" t="s">
        <v>78</v>
      </c>
      <c r="D1754">
        <v>0</v>
      </c>
      <c r="E1754">
        <v>0</v>
      </c>
      <c r="F1754">
        <v>0</v>
      </c>
      <c r="G1754" s="2">
        <v>8457528.3499999996</v>
      </c>
    </row>
    <row r="1755" spans="1:7" x14ac:dyDescent="0.25">
      <c r="A1755" s="1">
        <v>45078</v>
      </c>
      <c r="B1755" t="s">
        <v>91</v>
      </c>
      <c r="C1755" t="s">
        <v>98</v>
      </c>
      <c r="D1755" s="2">
        <v>11848537.42</v>
      </c>
      <c r="E1755" s="2">
        <v>4371896.2300000004</v>
      </c>
      <c r="F1755" s="2">
        <v>4160395.48</v>
      </c>
      <c r="G1755" s="2">
        <v>3263859.51</v>
      </c>
    </row>
    <row r="1756" spans="1:7" x14ac:dyDescent="0.25">
      <c r="A1756" s="1">
        <v>45078</v>
      </c>
      <c r="B1756" t="s">
        <v>23</v>
      </c>
      <c r="C1756" t="s">
        <v>110</v>
      </c>
      <c r="D1756" s="2">
        <v>1729321035.1900001</v>
      </c>
      <c r="E1756" s="2">
        <v>1568162691.6400001</v>
      </c>
      <c r="F1756" s="2">
        <v>1682555931.6500001</v>
      </c>
      <c r="G1756" s="2">
        <v>281103318.66000003</v>
      </c>
    </row>
    <row r="1757" spans="1:7" x14ac:dyDescent="0.25">
      <c r="A1757" s="1">
        <v>45078</v>
      </c>
      <c r="B1757" t="s">
        <v>31</v>
      </c>
      <c r="C1757" t="s">
        <v>29</v>
      </c>
      <c r="D1757" s="2">
        <v>11115720987.860001</v>
      </c>
      <c r="E1757" s="2">
        <v>28907959841.189999</v>
      </c>
      <c r="F1757" s="2">
        <v>28540255114.43</v>
      </c>
      <c r="G1757" s="2">
        <v>489278497.72000003</v>
      </c>
    </row>
    <row r="1758" spans="1:7" x14ac:dyDescent="0.25">
      <c r="A1758" s="1">
        <v>45078</v>
      </c>
      <c r="B1758" t="s">
        <v>21</v>
      </c>
      <c r="C1758" t="s">
        <v>84</v>
      </c>
      <c r="D1758" s="2">
        <v>108223834.15000001</v>
      </c>
      <c r="E1758" s="2">
        <v>24638445.609999999</v>
      </c>
      <c r="F1758" s="2">
        <v>24640417.449999999</v>
      </c>
      <c r="G1758" s="2">
        <v>43180620.329999998</v>
      </c>
    </row>
    <row r="1759" spans="1:7" x14ac:dyDescent="0.25">
      <c r="A1759" s="1">
        <v>45078</v>
      </c>
      <c r="B1759" t="s">
        <v>37</v>
      </c>
      <c r="C1759" t="s">
        <v>24</v>
      </c>
      <c r="D1759" s="2">
        <v>33966745.140000001</v>
      </c>
      <c r="E1759" s="2">
        <v>14511234.279999999</v>
      </c>
      <c r="F1759" s="2">
        <v>13806974.92</v>
      </c>
      <c r="G1759" s="2">
        <v>14650577.529999999</v>
      </c>
    </row>
    <row r="1760" spans="1:7" x14ac:dyDescent="0.25">
      <c r="A1760" s="1">
        <v>45078</v>
      </c>
      <c r="B1760" t="s">
        <v>47</v>
      </c>
      <c r="C1760" t="s">
        <v>57</v>
      </c>
      <c r="D1760" s="2">
        <v>25788204.66</v>
      </c>
      <c r="E1760" s="2">
        <v>62638063.399999999</v>
      </c>
      <c r="F1760" s="2">
        <v>48217552.710000001</v>
      </c>
      <c r="G1760" s="2">
        <v>2688542.12</v>
      </c>
    </row>
    <row r="1761" spans="1:7" x14ac:dyDescent="0.25">
      <c r="A1761" s="1">
        <v>45078</v>
      </c>
      <c r="B1761" t="s">
        <v>54</v>
      </c>
      <c r="C1761" t="s">
        <v>10</v>
      </c>
      <c r="D1761" s="2">
        <v>2126290.86</v>
      </c>
      <c r="E1761" s="2">
        <v>11644036.550000001</v>
      </c>
      <c r="F1761" s="2">
        <v>11642169.07</v>
      </c>
      <c r="G1761" s="2">
        <v>11296082.810000001</v>
      </c>
    </row>
    <row r="1762" spans="1:7" x14ac:dyDescent="0.25">
      <c r="A1762" s="1">
        <v>45078</v>
      </c>
      <c r="B1762" t="s">
        <v>28</v>
      </c>
      <c r="C1762" t="s">
        <v>72</v>
      </c>
      <c r="D1762" s="2">
        <v>6771296.9500000002</v>
      </c>
      <c r="E1762" s="2">
        <v>12439288.65</v>
      </c>
      <c r="F1762" s="2">
        <v>12133263.02</v>
      </c>
      <c r="G1762">
        <v>0</v>
      </c>
    </row>
    <row r="1763" spans="1:7" x14ac:dyDescent="0.25">
      <c r="A1763" s="1">
        <v>45078</v>
      </c>
      <c r="B1763" t="s">
        <v>54</v>
      </c>
      <c r="C1763" t="s">
        <v>20</v>
      </c>
      <c r="D1763" s="2">
        <v>254378.81</v>
      </c>
      <c r="E1763" s="2">
        <v>2609184.4300000002</v>
      </c>
      <c r="F1763" s="2">
        <v>2672539.7000000002</v>
      </c>
      <c r="G1763" s="2">
        <v>2324678.52</v>
      </c>
    </row>
    <row r="1764" spans="1:7" x14ac:dyDescent="0.25">
      <c r="A1764" s="1">
        <v>45078</v>
      </c>
      <c r="B1764" t="s">
        <v>65</v>
      </c>
      <c r="C1764" t="s">
        <v>89</v>
      </c>
      <c r="D1764" s="2">
        <v>793739</v>
      </c>
      <c r="E1764" s="2">
        <v>48431.75</v>
      </c>
      <c r="F1764" s="2">
        <v>48431.75</v>
      </c>
      <c r="G1764" s="2">
        <v>21137.22</v>
      </c>
    </row>
    <row r="1765" spans="1:7" x14ac:dyDescent="0.25">
      <c r="A1765" s="1">
        <v>45078</v>
      </c>
      <c r="B1765" t="s">
        <v>69</v>
      </c>
      <c r="C1765" t="s">
        <v>75</v>
      </c>
      <c r="D1765" s="2">
        <v>5866158.0999999996</v>
      </c>
      <c r="E1765" s="2">
        <v>21484083.16</v>
      </c>
      <c r="F1765" s="2">
        <v>25211655.02</v>
      </c>
      <c r="G1765" s="2">
        <v>249248.1</v>
      </c>
    </row>
    <row r="1766" spans="1:7" x14ac:dyDescent="0.25">
      <c r="A1766" s="1">
        <v>45078</v>
      </c>
      <c r="B1766" t="s">
        <v>23</v>
      </c>
      <c r="C1766" t="s">
        <v>117</v>
      </c>
      <c r="D1766" s="2">
        <v>208668028.68000001</v>
      </c>
      <c r="E1766" s="2">
        <v>86898510.989999995</v>
      </c>
      <c r="F1766" s="2">
        <v>85264690.730000004</v>
      </c>
      <c r="G1766" s="2">
        <v>5611908.9000000004</v>
      </c>
    </row>
    <row r="1767" spans="1:7" x14ac:dyDescent="0.25">
      <c r="A1767" s="1">
        <v>45078</v>
      </c>
      <c r="B1767" t="s">
        <v>87</v>
      </c>
      <c r="C1767" t="s">
        <v>77</v>
      </c>
      <c r="D1767" s="2">
        <v>484403823.35000002</v>
      </c>
      <c r="E1767" s="2">
        <v>7845084.0499999998</v>
      </c>
      <c r="F1767" s="2">
        <v>7811178.9000000004</v>
      </c>
      <c r="G1767" s="2">
        <v>15086449.77</v>
      </c>
    </row>
    <row r="1768" spans="1:7" x14ac:dyDescent="0.25">
      <c r="A1768" s="1">
        <v>45078</v>
      </c>
      <c r="B1768" t="s">
        <v>37</v>
      </c>
      <c r="C1768" t="s">
        <v>75</v>
      </c>
      <c r="D1768" s="2">
        <v>11913253.119999999</v>
      </c>
      <c r="E1768" s="2">
        <v>9352894.8800000008</v>
      </c>
      <c r="F1768" s="2">
        <v>8401988.9399999995</v>
      </c>
      <c r="G1768" s="2">
        <v>1718849.73</v>
      </c>
    </row>
    <row r="1769" spans="1:7" x14ac:dyDescent="0.25">
      <c r="A1769" s="1">
        <v>45078</v>
      </c>
      <c r="B1769" t="s">
        <v>15</v>
      </c>
      <c r="C1769" t="s">
        <v>75</v>
      </c>
      <c r="D1769" s="2">
        <v>7480031.1799999997</v>
      </c>
      <c r="E1769" s="2">
        <v>8536268.9499999993</v>
      </c>
      <c r="F1769" s="2">
        <v>6486676.3200000003</v>
      </c>
      <c r="G1769" s="2">
        <v>862942.46</v>
      </c>
    </row>
    <row r="1770" spans="1:7" x14ac:dyDescent="0.25">
      <c r="A1770" s="1">
        <v>45078</v>
      </c>
      <c r="B1770" t="s">
        <v>33</v>
      </c>
      <c r="C1770" t="s">
        <v>119</v>
      </c>
      <c r="D1770" s="2">
        <v>9185726.9399999995</v>
      </c>
      <c r="E1770" s="2">
        <v>7438446.2000000002</v>
      </c>
      <c r="F1770" s="2">
        <v>6885705.0499999998</v>
      </c>
      <c r="G1770" s="2">
        <v>152209.42000000001</v>
      </c>
    </row>
    <row r="1771" spans="1:7" x14ac:dyDescent="0.25">
      <c r="A1771" s="1">
        <v>45078</v>
      </c>
      <c r="B1771" t="s">
        <v>54</v>
      </c>
      <c r="C1771" t="s">
        <v>119</v>
      </c>
      <c r="D1771" s="2">
        <v>144795.69</v>
      </c>
      <c r="E1771" s="2">
        <v>301282.88</v>
      </c>
      <c r="F1771" s="2">
        <v>320557.7</v>
      </c>
      <c r="G1771" s="2">
        <v>44307.93</v>
      </c>
    </row>
    <row r="1772" spans="1:7" x14ac:dyDescent="0.25">
      <c r="A1772" s="1">
        <v>45078</v>
      </c>
      <c r="B1772" t="s">
        <v>23</v>
      </c>
      <c r="C1772" t="s">
        <v>12</v>
      </c>
      <c r="D1772" s="2">
        <v>389976366.72000003</v>
      </c>
      <c r="E1772" s="2">
        <v>141841492.83000001</v>
      </c>
      <c r="F1772" s="2">
        <v>132406483.39</v>
      </c>
      <c r="G1772" s="2">
        <v>1830475.38</v>
      </c>
    </row>
    <row r="1773" spans="1:7" x14ac:dyDescent="0.25">
      <c r="A1773" s="1">
        <v>45078</v>
      </c>
      <c r="B1773" t="s">
        <v>54</v>
      </c>
      <c r="C1773" t="s">
        <v>117</v>
      </c>
      <c r="D1773" s="2">
        <v>5264391.71</v>
      </c>
      <c r="E1773" s="2">
        <v>25375394.420000002</v>
      </c>
      <c r="F1773" s="2">
        <v>26004466.219999999</v>
      </c>
      <c r="G1773">
        <v>0</v>
      </c>
    </row>
    <row r="1774" spans="1:7" x14ac:dyDescent="0.25">
      <c r="A1774" s="1">
        <v>45078</v>
      </c>
      <c r="B1774" t="s">
        <v>26</v>
      </c>
      <c r="C1774" t="s">
        <v>18</v>
      </c>
      <c r="D1774" s="2">
        <v>60066245.560000002</v>
      </c>
      <c r="E1774" s="2">
        <v>2335938.62</v>
      </c>
      <c r="F1774" s="2">
        <v>1155494.98</v>
      </c>
      <c r="G1774" s="2">
        <v>22498330.079999998</v>
      </c>
    </row>
    <row r="1775" spans="1:7" x14ac:dyDescent="0.25">
      <c r="A1775" s="1">
        <v>45078</v>
      </c>
      <c r="B1775" t="s">
        <v>28</v>
      </c>
      <c r="C1775" t="s">
        <v>125</v>
      </c>
      <c r="D1775" s="2">
        <v>2309634494.3200002</v>
      </c>
      <c r="E1775" s="2">
        <v>11920804991.68</v>
      </c>
      <c r="F1775" s="2">
        <v>7912850199.54</v>
      </c>
      <c r="G1775" s="2">
        <v>1865</v>
      </c>
    </row>
    <row r="1776" spans="1:7" x14ac:dyDescent="0.25">
      <c r="A1776" s="1">
        <v>45078</v>
      </c>
      <c r="B1776" t="s">
        <v>23</v>
      </c>
      <c r="C1776" t="s">
        <v>121</v>
      </c>
      <c r="D1776" s="2">
        <v>6182725.0700000003</v>
      </c>
      <c r="E1776" s="2">
        <v>5757507.8600000003</v>
      </c>
      <c r="F1776" s="2">
        <v>5826596.2199999997</v>
      </c>
      <c r="G1776" s="2">
        <v>623254.12</v>
      </c>
    </row>
    <row r="1777" spans="1:7" x14ac:dyDescent="0.25">
      <c r="A1777" s="1">
        <v>45078</v>
      </c>
      <c r="B1777" t="s">
        <v>91</v>
      </c>
      <c r="C1777" t="s">
        <v>79</v>
      </c>
      <c r="D1777" s="2">
        <v>34249607.439999998</v>
      </c>
      <c r="E1777" s="2">
        <v>3744845.58</v>
      </c>
      <c r="F1777" s="2">
        <v>7506668.2199999997</v>
      </c>
      <c r="G1777" s="2">
        <v>23858016.609999999</v>
      </c>
    </row>
    <row r="1778" spans="1:7" x14ac:dyDescent="0.25">
      <c r="A1778" s="1">
        <v>45078</v>
      </c>
      <c r="B1778" t="s">
        <v>104</v>
      </c>
      <c r="C1778" t="s">
        <v>74</v>
      </c>
      <c r="D1778" s="2">
        <v>269677266.79000002</v>
      </c>
      <c r="E1778" s="2">
        <v>1000000</v>
      </c>
      <c r="F1778" s="2">
        <v>1000000</v>
      </c>
      <c r="G1778" s="2">
        <v>47741330.390000001</v>
      </c>
    </row>
    <row r="1779" spans="1:7" x14ac:dyDescent="0.25">
      <c r="A1779" s="1">
        <v>45078</v>
      </c>
      <c r="B1779" t="s">
        <v>52</v>
      </c>
      <c r="C1779" t="s">
        <v>118</v>
      </c>
      <c r="D1779" s="2">
        <v>95178489.040000007</v>
      </c>
      <c r="E1779" s="2">
        <v>20658823.940000001</v>
      </c>
      <c r="F1779" s="2">
        <v>16708421.529999999</v>
      </c>
      <c r="G1779" s="2">
        <v>5870477.2300000004</v>
      </c>
    </row>
    <row r="1780" spans="1:7" x14ac:dyDescent="0.25">
      <c r="A1780" s="1">
        <v>45078</v>
      </c>
      <c r="B1780" t="s">
        <v>43</v>
      </c>
      <c r="C1780" t="s">
        <v>14</v>
      </c>
      <c r="D1780" s="2">
        <v>796644.82</v>
      </c>
      <c r="E1780" s="2">
        <v>2830729.14</v>
      </c>
      <c r="F1780" s="2">
        <v>3290525.7</v>
      </c>
      <c r="G1780" s="2">
        <v>347011.75</v>
      </c>
    </row>
    <row r="1781" spans="1:7" x14ac:dyDescent="0.25">
      <c r="A1781" s="1">
        <v>45078</v>
      </c>
      <c r="B1781" t="s">
        <v>52</v>
      </c>
      <c r="C1781" t="s">
        <v>101</v>
      </c>
      <c r="D1781">
        <v>0</v>
      </c>
      <c r="E1781">
        <v>0</v>
      </c>
      <c r="F1781">
        <v>0</v>
      </c>
      <c r="G1781" s="2">
        <v>423997550.5</v>
      </c>
    </row>
    <row r="1782" spans="1:7" x14ac:dyDescent="0.25">
      <c r="A1782" s="1">
        <v>45078</v>
      </c>
      <c r="B1782" t="s">
        <v>7</v>
      </c>
      <c r="C1782" t="s">
        <v>57</v>
      </c>
      <c r="D1782" s="2">
        <v>53983836.850000001</v>
      </c>
      <c r="E1782" s="2">
        <v>108820797.84999999</v>
      </c>
      <c r="F1782" s="2">
        <v>92793613.469999999</v>
      </c>
      <c r="G1782" s="2">
        <v>5605569.4699999997</v>
      </c>
    </row>
    <row r="1783" spans="1:7" x14ac:dyDescent="0.25">
      <c r="A1783" s="1">
        <v>45078</v>
      </c>
      <c r="B1783" t="s">
        <v>43</v>
      </c>
      <c r="C1783" t="s">
        <v>66</v>
      </c>
      <c r="D1783" s="2">
        <v>124311.76</v>
      </c>
      <c r="E1783" s="2">
        <v>89693.62</v>
      </c>
      <c r="F1783" s="2">
        <v>93183.29</v>
      </c>
      <c r="G1783" s="2">
        <v>305986.71999999997</v>
      </c>
    </row>
    <row r="1784" spans="1:7" x14ac:dyDescent="0.25">
      <c r="A1784" s="1">
        <v>45078</v>
      </c>
      <c r="B1784" t="s">
        <v>15</v>
      </c>
      <c r="C1784" t="s">
        <v>57</v>
      </c>
      <c r="D1784" s="2">
        <v>-5581770.2699999996</v>
      </c>
      <c r="E1784" s="2">
        <v>70058666.450000003</v>
      </c>
      <c r="F1784" s="2">
        <v>55599459.969999999</v>
      </c>
      <c r="G1784" s="2">
        <v>270304.48</v>
      </c>
    </row>
    <row r="1785" spans="1:7" x14ac:dyDescent="0.25">
      <c r="A1785" s="1">
        <v>45078</v>
      </c>
      <c r="B1785" t="s">
        <v>7</v>
      </c>
      <c r="C1785" t="s">
        <v>123</v>
      </c>
      <c r="D1785" s="2">
        <v>2428970.13</v>
      </c>
      <c r="E1785" s="2">
        <v>2806182.54</v>
      </c>
      <c r="F1785" s="2">
        <v>3022548.66</v>
      </c>
      <c r="G1785" s="2">
        <v>524827.66</v>
      </c>
    </row>
    <row r="1786" spans="1:7" x14ac:dyDescent="0.25">
      <c r="A1786" s="1">
        <v>45078</v>
      </c>
      <c r="B1786" t="s">
        <v>17</v>
      </c>
      <c r="C1786" t="s">
        <v>113</v>
      </c>
      <c r="D1786" s="2">
        <v>2976504.2</v>
      </c>
      <c r="E1786" s="2">
        <v>367851206.10000002</v>
      </c>
      <c r="F1786" s="2">
        <v>369623275.11000001</v>
      </c>
      <c r="G1786" s="2">
        <v>2694127.1</v>
      </c>
    </row>
    <row r="1787" spans="1:7" x14ac:dyDescent="0.25">
      <c r="A1787" s="1">
        <v>45078</v>
      </c>
      <c r="B1787" t="s">
        <v>54</v>
      </c>
      <c r="C1787" t="s">
        <v>71</v>
      </c>
      <c r="D1787" s="2">
        <v>876163.01</v>
      </c>
      <c r="E1787" s="2">
        <v>711771.16</v>
      </c>
      <c r="F1787" s="2">
        <v>781408.26</v>
      </c>
      <c r="G1787" s="2">
        <v>407518.68</v>
      </c>
    </row>
    <row r="1788" spans="1:7" x14ac:dyDescent="0.25">
      <c r="A1788" s="1">
        <v>45078</v>
      </c>
      <c r="B1788" t="s">
        <v>13</v>
      </c>
      <c r="C1788" t="s">
        <v>72</v>
      </c>
      <c r="D1788" s="2">
        <v>9475074</v>
      </c>
      <c r="E1788" s="2">
        <v>8597278.8100000005</v>
      </c>
      <c r="F1788" s="2">
        <v>8538864.1699999999</v>
      </c>
      <c r="G1788">
        <v>0</v>
      </c>
    </row>
    <row r="1789" spans="1:7" x14ac:dyDescent="0.25">
      <c r="A1789" s="1">
        <v>45078</v>
      </c>
      <c r="B1789" t="s">
        <v>69</v>
      </c>
      <c r="C1789" t="s">
        <v>59</v>
      </c>
      <c r="D1789" s="2">
        <v>47528470.399999999</v>
      </c>
      <c r="E1789" s="2">
        <v>18842039.260000002</v>
      </c>
      <c r="F1789" s="2">
        <v>16141760.039999999</v>
      </c>
      <c r="G1789" s="2">
        <v>6458907.8499999996</v>
      </c>
    </row>
    <row r="1790" spans="1:7" x14ac:dyDescent="0.25">
      <c r="A1790" s="1">
        <v>45078</v>
      </c>
      <c r="B1790" t="s">
        <v>65</v>
      </c>
      <c r="C1790" t="s">
        <v>75</v>
      </c>
      <c r="D1790" s="2">
        <v>2031811.5</v>
      </c>
      <c r="E1790" s="2">
        <v>3036438</v>
      </c>
      <c r="F1790" s="2">
        <v>3041704.68</v>
      </c>
      <c r="G1790" s="2">
        <v>2189223.5699999998</v>
      </c>
    </row>
    <row r="1791" spans="1:7" x14ac:dyDescent="0.25">
      <c r="A1791" s="1">
        <v>45078</v>
      </c>
      <c r="B1791" t="s">
        <v>31</v>
      </c>
      <c r="C1791" t="s">
        <v>22</v>
      </c>
      <c r="D1791" s="2">
        <v>3823937605.8699999</v>
      </c>
      <c r="E1791" s="2">
        <v>5415121820.1099997</v>
      </c>
      <c r="F1791" s="2">
        <v>5380419310.5299997</v>
      </c>
      <c r="G1791" s="2">
        <v>149887008.36000001</v>
      </c>
    </row>
    <row r="1792" spans="1:7" x14ac:dyDescent="0.25">
      <c r="A1792" s="1">
        <v>45078</v>
      </c>
      <c r="B1792" t="s">
        <v>43</v>
      </c>
      <c r="C1792" t="s">
        <v>112</v>
      </c>
      <c r="D1792" s="2">
        <v>1011141.46</v>
      </c>
      <c r="E1792" s="2">
        <v>979605.45</v>
      </c>
      <c r="F1792" s="2">
        <v>1028805.3</v>
      </c>
      <c r="G1792">
        <v>0</v>
      </c>
    </row>
    <row r="1793" spans="1:7" x14ac:dyDescent="0.25">
      <c r="A1793" s="1">
        <v>45078</v>
      </c>
      <c r="B1793" t="s">
        <v>33</v>
      </c>
      <c r="C1793" t="s">
        <v>78</v>
      </c>
      <c r="D1793">
        <v>0</v>
      </c>
      <c r="E1793">
        <v>0</v>
      </c>
      <c r="F1793">
        <v>0</v>
      </c>
      <c r="G1793" s="2">
        <v>2051029.71</v>
      </c>
    </row>
    <row r="1794" spans="1:7" x14ac:dyDescent="0.25">
      <c r="A1794" s="1">
        <v>45078</v>
      </c>
      <c r="B1794" t="s">
        <v>13</v>
      </c>
      <c r="C1794" t="s">
        <v>55</v>
      </c>
      <c r="D1794" s="2">
        <v>654845.57999999996</v>
      </c>
      <c r="E1794" s="2">
        <v>2036722.48</v>
      </c>
      <c r="F1794" s="2">
        <v>2094910.07</v>
      </c>
      <c r="G1794" s="2">
        <v>3303986.78</v>
      </c>
    </row>
    <row r="1795" spans="1:7" x14ac:dyDescent="0.25">
      <c r="A1795" s="1">
        <v>45078</v>
      </c>
      <c r="B1795" t="s">
        <v>33</v>
      </c>
      <c r="C1795" t="s">
        <v>100</v>
      </c>
      <c r="D1795" s="2">
        <v>492141.4</v>
      </c>
      <c r="E1795" s="2">
        <v>576028.68999999994</v>
      </c>
      <c r="F1795" s="2">
        <v>600190.44999999995</v>
      </c>
      <c r="G1795">
        <v>0</v>
      </c>
    </row>
    <row r="1796" spans="1:7" x14ac:dyDescent="0.25">
      <c r="A1796" s="1">
        <v>45078</v>
      </c>
      <c r="B1796" t="s">
        <v>33</v>
      </c>
      <c r="C1796" t="s">
        <v>75</v>
      </c>
      <c r="D1796" s="2">
        <v>41829356.5</v>
      </c>
      <c r="E1796" s="2">
        <v>22571159.859999999</v>
      </c>
      <c r="F1796" s="2">
        <v>26771188.739999998</v>
      </c>
      <c r="G1796" s="2">
        <v>22600607.57</v>
      </c>
    </row>
    <row r="1797" spans="1:7" x14ac:dyDescent="0.25">
      <c r="A1797" s="1">
        <v>45078</v>
      </c>
      <c r="B1797" t="s">
        <v>17</v>
      </c>
      <c r="C1797" t="s">
        <v>103</v>
      </c>
      <c r="D1797" s="2">
        <v>8167880.3399999999</v>
      </c>
      <c r="E1797" s="2">
        <v>13705399.939999999</v>
      </c>
      <c r="F1797" s="2">
        <v>11845383.27</v>
      </c>
      <c r="G1797" s="2">
        <v>11330080.32</v>
      </c>
    </row>
    <row r="1798" spans="1:7" x14ac:dyDescent="0.25">
      <c r="A1798" s="1">
        <v>45078</v>
      </c>
      <c r="B1798" t="s">
        <v>7</v>
      </c>
      <c r="C1798" t="s">
        <v>130</v>
      </c>
      <c r="D1798" s="2">
        <v>22259876.960000001</v>
      </c>
      <c r="E1798" s="2">
        <v>28969200.609999999</v>
      </c>
      <c r="F1798" s="2">
        <v>28969200.609999999</v>
      </c>
      <c r="G1798" s="2">
        <v>3609308.13</v>
      </c>
    </row>
    <row r="1799" spans="1:7" x14ac:dyDescent="0.25">
      <c r="A1799" s="1">
        <v>45078</v>
      </c>
      <c r="B1799" t="s">
        <v>23</v>
      </c>
      <c r="C1799" t="s">
        <v>115</v>
      </c>
      <c r="D1799" s="2">
        <v>527898265.13999999</v>
      </c>
      <c r="E1799" s="2">
        <v>496837926.63</v>
      </c>
      <c r="F1799" s="2">
        <v>434751743.91000003</v>
      </c>
      <c r="G1799" s="2">
        <v>109313622.34</v>
      </c>
    </row>
    <row r="1800" spans="1:7" x14ac:dyDescent="0.25">
      <c r="A1800" s="1">
        <v>45078</v>
      </c>
      <c r="B1800" t="s">
        <v>27</v>
      </c>
      <c r="C1800" t="s">
        <v>99</v>
      </c>
      <c r="D1800" s="2">
        <v>9065079.3100000005</v>
      </c>
      <c r="E1800" s="2">
        <v>33017685.07</v>
      </c>
      <c r="F1800" s="2">
        <v>32545586.850000001</v>
      </c>
      <c r="G1800" s="2">
        <v>545711.6</v>
      </c>
    </row>
    <row r="1801" spans="1:7" x14ac:dyDescent="0.25">
      <c r="A1801" s="1">
        <v>45078</v>
      </c>
      <c r="B1801" t="s">
        <v>13</v>
      </c>
      <c r="C1801" t="s">
        <v>57</v>
      </c>
      <c r="D1801" s="2">
        <v>178306829.55000001</v>
      </c>
      <c r="E1801" s="2">
        <v>137251627.21000001</v>
      </c>
      <c r="F1801" s="2">
        <v>120895762.19</v>
      </c>
      <c r="G1801" s="2">
        <v>4717492.59</v>
      </c>
    </row>
    <row r="1802" spans="1:7" x14ac:dyDescent="0.25">
      <c r="A1802" s="1">
        <v>45078</v>
      </c>
      <c r="B1802" t="s">
        <v>7</v>
      </c>
      <c r="C1802" t="s">
        <v>72</v>
      </c>
      <c r="D1802" s="2">
        <v>157872293.09</v>
      </c>
      <c r="E1802" s="2">
        <v>303204750.60000002</v>
      </c>
      <c r="F1802" s="2">
        <v>302002379.14999998</v>
      </c>
      <c r="G1802">
        <v>0</v>
      </c>
    </row>
    <row r="1803" spans="1:7" x14ac:dyDescent="0.25">
      <c r="A1803" s="1">
        <v>45078</v>
      </c>
      <c r="B1803" t="s">
        <v>7</v>
      </c>
      <c r="C1803" t="s">
        <v>81</v>
      </c>
      <c r="D1803">
        <v>0</v>
      </c>
      <c r="E1803" s="2">
        <v>445626991.58999997</v>
      </c>
      <c r="F1803" s="2">
        <v>437735657.63999999</v>
      </c>
      <c r="G1803" s="2">
        <v>677202.8</v>
      </c>
    </row>
    <row r="1804" spans="1:7" x14ac:dyDescent="0.25">
      <c r="A1804" s="1">
        <v>45078</v>
      </c>
      <c r="B1804" t="s">
        <v>7</v>
      </c>
      <c r="C1804" t="s">
        <v>58</v>
      </c>
      <c r="D1804" s="2">
        <v>503956009.32999998</v>
      </c>
      <c r="E1804" s="2">
        <v>550324662.70000005</v>
      </c>
      <c r="F1804" s="2">
        <v>550208133.14999998</v>
      </c>
      <c r="G1804" s="2">
        <v>2480304.61</v>
      </c>
    </row>
    <row r="1805" spans="1:7" x14ac:dyDescent="0.25">
      <c r="A1805" s="1">
        <v>45078</v>
      </c>
      <c r="B1805" t="s">
        <v>69</v>
      </c>
      <c r="C1805" t="s">
        <v>122</v>
      </c>
      <c r="D1805" s="2">
        <v>283194347.38999999</v>
      </c>
      <c r="E1805" s="2">
        <v>44818103.380000003</v>
      </c>
      <c r="F1805" s="2">
        <v>71685975.439999998</v>
      </c>
      <c r="G1805" s="2">
        <v>94315139.769999996</v>
      </c>
    </row>
    <row r="1806" spans="1:7" x14ac:dyDescent="0.25">
      <c r="A1806" s="1">
        <v>45078</v>
      </c>
      <c r="B1806" t="s">
        <v>36</v>
      </c>
      <c r="C1806" t="s">
        <v>101</v>
      </c>
      <c r="D1806" s="2">
        <v>1299080038.4400001</v>
      </c>
      <c r="E1806" s="2">
        <v>15554726364.200001</v>
      </c>
      <c r="F1806" s="2">
        <v>15554271142.92</v>
      </c>
      <c r="G1806" s="2">
        <v>14248675.26</v>
      </c>
    </row>
    <row r="1807" spans="1:7" x14ac:dyDescent="0.25">
      <c r="A1807" s="1">
        <v>45078</v>
      </c>
      <c r="B1807" t="s">
        <v>7</v>
      </c>
      <c r="C1807" t="s">
        <v>22</v>
      </c>
      <c r="D1807" s="2">
        <v>325130345.88</v>
      </c>
      <c r="E1807" s="2">
        <v>676413091.63</v>
      </c>
      <c r="F1807" s="2">
        <v>668362039.85000002</v>
      </c>
      <c r="G1807" s="2">
        <v>1101.75</v>
      </c>
    </row>
    <row r="1808" spans="1:7" x14ac:dyDescent="0.25">
      <c r="A1808" s="1">
        <v>45078</v>
      </c>
      <c r="B1808" t="s">
        <v>13</v>
      </c>
      <c r="C1808" t="s">
        <v>34</v>
      </c>
      <c r="D1808" s="2">
        <v>234869700.97999999</v>
      </c>
      <c r="E1808" s="2">
        <v>327110104.69</v>
      </c>
      <c r="F1808" s="2">
        <v>326322267.85000002</v>
      </c>
      <c r="G1808" s="2">
        <v>23867533.57</v>
      </c>
    </row>
    <row r="1809" spans="1:7" x14ac:dyDescent="0.25">
      <c r="A1809" s="1">
        <v>45078</v>
      </c>
      <c r="B1809" t="s">
        <v>9</v>
      </c>
      <c r="C1809" t="s">
        <v>112</v>
      </c>
      <c r="D1809" s="2">
        <v>92223878.879999995</v>
      </c>
      <c r="E1809" s="2">
        <v>48446373.140000001</v>
      </c>
      <c r="F1809" s="2">
        <v>45494524.039999999</v>
      </c>
      <c r="G1809" s="2">
        <v>11647488.699999999</v>
      </c>
    </row>
    <row r="1810" spans="1:7" x14ac:dyDescent="0.25">
      <c r="A1810" s="1">
        <v>45078</v>
      </c>
      <c r="B1810" t="s">
        <v>11</v>
      </c>
      <c r="C1810" t="s">
        <v>72</v>
      </c>
      <c r="D1810" s="2">
        <v>86497439.689999998</v>
      </c>
      <c r="E1810" s="2">
        <v>86275103.739999995</v>
      </c>
      <c r="F1810" s="2">
        <v>86310789.859999999</v>
      </c>
      <c r="G1810">
        <v>0</v>
      </c>
    </row>
    <row r="1811" spans="1:7" x14ac:dyDescent="0.25">
      <c r="A1811" s="1">
        <v>45078</v>
      </c>
      <c r="B1811" t="s">
        <v>17</v>
      </c>
      <c r="C1811" t="s">
        <v>40</v>
      </c>
      <c r="D1811" s="2">
        <v>567330739.62</v>
      </c>
      <c r="E1811" s="2">
        <v>430120340.25999999</v>
      </c>
      <c r="F1811" s="2">
        <v>374788127.25</v>
      </c>
      <c r="G1811" s="2">
        <v>241554900.56</v>
      </c>
    </row>
    <row r="1812" spans="1:7" x14ac:dyDescent="0.25">
      <c r="A1812" s="1">
        <v>45078</v>
      </c>
      <c r="B1812" t="s">
        <v>47</v>
      </c>
      <c r="C1812" t="s">
        <v>75</v>
      </c>
      <c r="D1812" s="2">
        <v>1436629.47</v>
      </c>
      <c r="E1812" s="2">
        <v>1940323.96</v>
      </c>
      <c r="F1812" s="2">
        <v>1943865.5</v>
      </c>
      <c r="G1812" s="2">
        <v>2240171.4700000002</v>
      </c>
    </row>
    <row r="1813" spans="1:7" x14ac:dyDescent="0.25">
      <c r="A1813" s="1">
        <v>45078</v>
      </c>
      <c r="B1813" t="s">
        <v>17</v>
      </c>
      <c r="C1813" t="s">
        <v>86</v>
      </c>
      <c r="D1813" s="2">
        <v>-160221.98000000001</v>
      </c>
      <c r="E1813" s="2">
        <v>4510541.29</v>
      </c>
      <c r="F1813" s="2">
        <v>2027183</v>
      </c>
      <c r="G1813" s="2">
        <v>5522.45</v>
      </c>
    </row>
    <row r="1814" spans="1:7" x14ac:dyDescent="0.25">
      <c r="A1814" s="1">
        <v>45078</v>
      </c>
      <c r="B1814" t="s">
        <v>54</v>
      </c>
      <c r="C1814" t="s">
        <v>116</v>
      </c>
      <c r="D1814" s="2">
        <v>-348942317.54000002</v>
      </c>
      <c r="E1814" s="2">
        <v>365613914.75</v>
      </c>
      <c r="F1814" s="2">
        <v>393799813.61000001</v>
      </c>
      <c r="G1814" s="2">
        <v>296478507.23000002</v>
      </c>
    </row>
    <row r="1815" spans="1:7" x14ac:dyDescent="0.25">
      <c r="A1815" s="1">
        <v>45078</v>
      </c>
      <c r="B1815" t="s">
        <v>13</v>
      </c>
      <c r="C1815" t="s">
        <v>103</v>
      </c>
      <c r="D1815" s="2">
        <v>144228517.59</v>
      </c>
      <c r="E1815" s="2">
        <v>121765221.97</v>
      </c>
      <c r="F1815" s="2">
        <v>268541590.17000002</v>
      </c>
      <c r="G1815" s="2">
        <v>85474818.840000004</v>
      </c>
    </row>
    <row r="1816" spans="1:7" x14ac:dyDescent="0.25">
      <c r="A1816" s="1">
        <v>45078</v>
      </c>
      <c r="B1816" t="s">
        <v>91</v>
      </c>
      <c r="C1816" t="s">
        <v>114</v>
      </c>
      <c r="D1816" s="2">
        <v>1354709998.97</v>
      </c>
      <c r="E1816" s="2">
        <v>828404564.80999994</v>
      </c>
      <c r="F1816" s="2">
        <v>835264057.96000004</v>
      </c>
      <c r="G1816" s="2">
        <v>404020354.51999998</v>
      </c>
    </row>
    <row r="1817" spans="1:7" x14ac:dyDescent="0.25">
      <c r="A1817" s="1">
        <v>45078</v>
      </c>
      <c r="B1817" t="s">
        <v>43</v>
      </c>
      <c r="C1817" t="s">
        <v>57</v>
      </c>
      <c r="D1817" s="2">
        <v>72699398.560000002</v>
      </c>
      <c r="E1817" s="2">
        <v>109775521.55</v>
      </c>
      <c r="F1817" s="2">
        <v>103501213.45</v>
      </c>
      <c r="G1817" s="2">
        <v>3818375.39</v>
      </c>
    </row>
    <row r="1818" spans="1:7" x14ac:dyDescent="0.25">
      <c r="A1818" s="1">
        <v>45078</v>
      </c>
      <c r="B1818" t="s">
        <v>62</v>
      </c>
      <c r="C1818" t="s">
        <v>57</v>
      </c>
      <c r="D1818" s="2">
        <v>22634515.93</v>
      </c>
      <c r="E1818" s="2">
        <v>63187789.93</v>
      </c>
      <c r="F1818" s="2">
        <v>48837757.719999999</v>
      </c>
      <c r="G1818" s="2">
        <v>918782.91</v>
      </c>
    </row>
    <row r="1819" spans="1:7" x14ac:dyDescent="0.25">
      <c r="A1819" s="1">
        <v>45078</v>
      </c>
      <c r="B1819" t="s">
        <v>28</v>
      </c>
      <c r="C1819" t="s">
        <v>124</v>
      </c>
      <c r="D1819" s="2">
        <v>128589650352.61</v>
      </c>
      <c r="E1819" s="2">
        <v>96259916200.809998</v>
      </c>
      <c r="F1819" s="2">
        <v>96036813997.990005</v>
      </c>
      <c r="G1819" s="2">
        <v>814925.77</v>
      </c>
    </row>
    <row r="1820" spans="1:7" x14ac:dyDescent="0.25">
      <c r="A1820" s="1">
        <v>45078</v>
      </c>
      <c r="B1820" t="s">
        <v>54</v>
      </c>
      <c r="C1820" t="s">
        <v>68</v>
      </c>
      <c r="D1820" s="2">
        <v>1205233.99</v>
      </c>
      <c r="E1820" s="2">
        <v>3048349.05</v>
      </c>
      <c r="F1820" s="2">
        <v>2767523.11</v>
      </c>
      <c r="G1820" s="2">
        <v>1940172.91</v>
      </c>
    </row>
    <row r="1821" spans="1:7" x14ac:dyDescent="0.25">
      <c r="A1821" s="1">
        <v>45078</v>
      </c>
      <c r="B1821" t="s">
        <v>69</v>
      </c>
      <c r="C1821" t="s">
        <v>57</v>
      </c>
      <c r="D1821" s="2">
        <v>43733798.409999996</v>
      </c>
      <c r="E1821" s="2">
        <v>125187103.72</v>
      </c>
      <c r="F1821" s="2">
        <v>83842510.719999999</v>
      </c>
      <c r="G1821" s="2">
        <v>1870158.83</v>
      </c>
    </row>
    <row r="1822" spans="1:7" x14ac:dyDescent="0.25">
      <c r="A1822" s="1">
        <v>45078</v>
      </c>
      <c r="B1822" t="s">
        <v>43</v>
      </c>
      <c r="C1822" t="s">
        <v>122</v>
      </c>
      <c r="D1822" s="2">
        <v>350856.69</v>
      </c>
      <c r="E1822" s="2">
        <v>434338.75</v>
      </c>
      <c r="F1822" s="2">
        <v>448985.5</v>
      </c>
      <c r="G1822" s="2">
        <v>271562.96999999997</v>
      </c>
    </row>
    <row r="1823" spans="1:7" x14ac:dyDescent="0.25">
      <c r="A1823" s="1">
        <v>45078</v>
      </c>
      <c r="B1823" t="s">
        <v>54</v>
      </c>
      <c r="C1823" t="s">
        <v>78</v>
      </c>
      <c r="D1823" s="2">
        <v>5235730.74</v>
      </c>
      <c r="E1823" s="2">
        <v>1824674.96</v>
      </c>
      <c r="F1823" s="2">
        <v>176408.06</v>
      </c>
      <c r="G1823" s="2">
        <v>59824474.640000001</v>
      </c>
    </row>
    <row r="1824" spans="1:7" x14ac:dyDescent="0.25">
      <c r="A1824" s="1">
        <v>45078</v>
      </c>
      <c r="B1824" t="s">
        <v>17</v>
      </c>
      <c r="C1824" t="s">
        <v>93</v>
      </c>
      <c r="D1824" s="2">
        <v>2366016.09</v>
      </c>
      <c r="E1824" s="2">
        <v>1155800.1200000001</v>
      </c>
      <c r="F1824" s="2">
        <v>1093889.76</v>
      </c>
      <c r="G1824" s="2">
        <v>1496385.11</v>
      </c>
    </row>
    <row r="1825" spans="1:7" x14ac:dyDescent="0.25">
      <c r="A1825" s="1">
        <v>45078</v>
      </c>
      <c r="B1825" t="s">
        <v>91</v>
      </c>
      <c r="C1825" t="s">
        <v>57</v>
      </c>
      <c r="D1825" s="2">
        <v>179771953.49000001</v>
      </c>
      <c r="E1825" s="2">
        <v>179398138.56</v>
      </c>
      <c r="F1825" s="2">
        <v>152505792.97999999</v>
      </c>
      <c r="G1825" s="2">
        <v>12410343.810000001</v>
      </c>
    </row>
    <row r="1826" spans="1:7" x14ac:dyDescent="0.25">
      <c r="A1826" s="1">
        <v>45078</v>
      </c>
      <c r="B1826" t="s">
        <v>33</v>
      </c>
      <c r="C1826" t="s">
        <v>79</v>
      </c>
      <c r="D1826" s="2">
        <v>23477198.379999999</v>
      </c>
      <c r="E1826" s="2">
        <v>41782131.390000001</v>
      </c>
      <c r="F1826" s="2">
        <v>60524242.200000003</v>
      </c>
      <c r="G1826" s="2">
        <v>13039347.27</v>
      </c>
    </row>
    <row r="1827" spans="1:7" x14ac:dyDescent="0.25">
      <c r="A1827" s="1">
        <v>45078</v>
      </c>
      <c r="B1827" t="s">
        <v>7</v>
      </c>
      <c r="C1827" t="s">
        <v>12</v>
      </c>
      <c r="D1827" s="2">
        <v>3929653.13</v>
      </c>
      <c r="E1827" s="2">
        <v>2740528.72</v>
      </c>
      <c r="F1827" s="2">
        <v>3058388.33</v>
      </c>
      <c r="G1827" s="2">
        <v>1206826.77</v>
      </c>
    </row>
    <row r="1828" spans="1:7" x14ac:dyDescent="0.25">
      <c r="A1828" s="1">
        <v>45078</v>
      </c>
      <c r="B1828" t="s">
        <v>11</v>
      </c>
      <c r="C1828" t="s">
        <v>107</v>
      </c>
      <c r="D1828" s="2">
        <v>2039983.76</v>
      </c>
      <c r="E1828" s="2">
        <v>3539230.86</v>
      </c>
      <c r="F1828" s="2">
        <v>3490010.77</v>
      </c>
      <c r="G1828" s="2">
        <v>224798.53</v>
      </c>
    </row>
    <row r="1829" spans="1:7" x14ac:dyDescent="0.25">
      <c r="A1829" s="1">
        <v>45078</v>
      </c>
      <c r="B1829" t="s">
        <v>54</v>
      </c>
      <c r="C1829" t="s">
        <v>89</v>
      </c>
      <c r="D1829" s="2">
        <v>1051914.47</v>
      </c>
      <c r="E1829" s="2">
        <v>12079.88</v>
      </c>
      <c r="F1829" s="2">
        <v>11727.3</v>
      </c>
      <c r="G1829" s="2">
        <v>184311.05</v>
      </c>
    </row>
    <row r="1830" spans="1:7" x14ac:dyDescent="0.25">
      <c r="A1830" s="1">
        <v>45078</v>
      </c>
      <c r="B1830" t="s">
        <v>43</v>
      </c>
      <c r="C1830" t="s">
        <v>72</v>
      </c>
      <c r="D1830" s="2">
        <v>17202898.059999999</v>
      </c>
      <c r="E1830" s="2">
        <v>7635014.0800000001</v>
      </c>
      <c r="F1830" s="2">
        <v>6399030.0099999998</v>
      </c>
      <c r="G1830">
        <v>0</v>
      </c>
    </row>
    <row r="1831" spans="1:7" x14ac:dyDescent="0.25">
      <c r="A1831" s="1">
        <v>45078</v>
      </c>
      <c r="B1831" t="s">
        <v>37</v>
      </c>
      <c r="C1831" t="s">
        <v>117</v>
      </c>
      <c r="D1831" s="2">
        <v>9939194.1199999992</v>
      </c>
      <c r="E1831" s="2">
        <v>1810752.66</v>
      </c>
      <c r="F1831" s="2">
        <v>1707979.27</v>
      </c>
      <c r="G1831" s="2">
        <v>736610.08</v>
      </c>
    </row>
    <row r="1832" spans="1:7" x14ac:dyDescent="0.25">
      <c r="A1832" s="1">
        <v>45078</v>
      </c>
      <c r="B1832" t="s">
        <v>91</v>
      </c>
      <c r="C1832" t="s">
        <v>111</v>
      </c>
      <c r="D1832" s="2">
        <v>75612343.560000002</v>
      </c>
      <c r="E1832" s="2">
        <v>897463.96</v>
      </c>
      <c r="F1832" s="2">
        <v>908168.4</v>
      </c>
      <c r="G1832" s="2">
        <v>10126062.51</v>
      </c>
    </row>
    <row r="1833" spans="1:7" x14ac:dyDescent="0.25">
      <c r="A1833" s="1">
        <v>45078</v>
      </c>
      <c r="B1833" t="s">
        <v>54</v>
      </c>
      <c r="C1833" t="s">
        <v>75</v>
      </c>
      <c r="D1833" s="2">
        <v>10761985.220000001</v>
      </c>
      <c r="E1833" s="2">
        <v>11314571.689999999</v>
      </c>
      <c r="F1833" s="2">
        <v>10410682.52</v>
      </c>
      <c r="G1833" s="2">
        <v>3409050.87</v>
      </c>
    </row>
    <row r="1834" spans="1:7" x14ac:dyDescent="0.25">
      <c r="A1834" s="1">
        <v>45078</v>
      </c>
      <c r="B1834" t="s">
        <v>37</v>
      </c>
      <c r="C1834" t="s">
        <v>57</v>
      </c>
      <c r="D1834" s="2">
        <v>11460381.390000001</v>
      </c>
      <c r="E1834" s="2">
        <v>40192186.130000003</v>
      </c>
      <c r="F1834" s="2">
        <v>33047104.469999999</v>
      </c>
      <c r="G1834" s="2">
        <v>964057.73</v>
      </c>
    </row>
    <row r="1835" spans="1:7" x14ac:dyDescent="0.25">
      <c r="A1835" s="1">
        <v>45078</v>
      </c>
      <c r="B1835" t="s">
        <v>26</v>
      </c>
      <c r="C1835" t="s">
        <v>57</v>
      </c>
      <c r="D1835" s="2">
        <v>154707841.72999999</v>
      </c>
      <c r="E1835" s="2">
        <v>201600034.28</v>
      </c>
      <c r="F1835" s="2">
        <v>118113805.05</v>
      </c>
      <c r="G1835" s="2">
        <v>4249036.59</v>
      </c>
    </row>
    <row r="1836" spans="1:7" x14ac:dyDescent="0.25">
      <c r="A1836" s="1">
        <v>45078</v>
      </c>
      <c r="B1836" t="s">
        <v>7</v>
      </c>
      <c r="C1836" t="s">
        <v>102</v>
      </c>
      <c r="D1836" s="2">
        <v>339113333.67000002</v>
      </c>
      <c r="E1836" s="2">
        <v>1164685077.48</v>
      </c>
      <c r="F1836" s="2">
        <v>841784331.96000004</v>
      </c>
      <c r="G1836" s="2">
        <v>29248865.190000001</v>
      </c>
    </row>
    <row r="1837" spans="1:7" x14ac:dyDescent="0.25">
      <c r="A1837" s="1">
        <v>45078</v>
      </c>
      <c r="B1837" t="s">
        <v>7</v>
      </c>
      <c r="C1837" t="s">
        <v>95</v>
      </c>
      <c r="D1837" s="2">
        <v>188250790.34</v>
      </c>
      <c r="E1837" s="2">
        <v>241257046.21000001</v>
      </c>
      <c r="F1837" s="2">
        <v>228770640.30000001</v>
      </c>
      <c r="G1837" s="2">
        <v>229008284.99000001</v>
      </c>
    </row>
    <row r="1838" spans="1:7" x14ac:dyDescent="0.25">
      <c r="A1838" s="1">
        <v>45078</v>
      </c>
      <c r="B1838" t="s">
        <v>11</v>
      </c>
      <c r="C1838" t="s">
        <v>50</v>
      </c>
      <c r="D1838" s="2">
        <v>7505787.6299999999</v>
      </c>
      <c r="E1838" s="2">
        <v>56411476.850000001</v>
      </c>
      <c r="F1838" s="2">
        <v>54637319.689999998</v>
      </c>
      <c r="G1838" s="2">
        <v>-666869.4</v>
      </c>
    </row>
    <row r="1839" spans="1:7" x14ac:dyDescent="0.25">
      <c r="A1839" s="1">
        <v>45078</v>
      </c>
      <c r="B1839" t="s">
        <v>54</v>
      </c>
      <c r="C1839" t="s">
        <v>95</v>
      </c>
      <c r="D1839" s="2">
        <v>5871094.1299999999</v>
      </c>
      <c r="E1839" s="2">
        <v>3147739.21</v>
      </c>
      <c r="F1839" s="2">
        <v>3036692.69</v>
      </c>
      <c r="G1839" s="2">
        <v>332814.34999999998</v>
      </c>
    </row>
    <row r="1840" spans="1:7" x14ac:dyDescent="0.25">
      <c r="A1840" s="1">
        <v>45078</v>
      </c>
      <c r="B1840" t="s">
        <v>17</v>
      </c>
      <c r="C1840" t="s">
        <v>39</v>
      </c>
      <c r="D1840" s="2">
        <v>301836.23</v>
      </c>
      <c r="E1840" s="2">
        <v>800128.11</v>
      </c>
      <c r="F1840" s="2">
        <v>834261.99</v>
      </c>
      <c r="G1840" s="2">
        <v>37155.11</v>
      </c>
    </row>
    <row r="1841" spans="1:7" x14ac:dyDescent="0.25">
      <c r="A1841" s="1">
        <v>45078</v>
      </c>
      <c r="B1841" t="s">
        <v>23</v>
      </c>
      <c r="C1841" t="s">
        <v>78</v>
      </c>
      <c r="D1841" s="2">
        <v>3303068898.48</v>
      </c>
      <c r="E1841" s="2">
        <v>4010487488.52</v>
      </c>
      <c r="F1841" s="2">
        <v>4012102771.75</v>
      </c>
      <c r="G1841" s="2">
        <v>68465200.450000003</v>
      </c>
    </row>
    <row r="1842" spans="1:7" x14ac:dyDescent="0.25">
      <c r="A1842" s="1">
        <v>45078</v>
      </c>
      <c r="B1842" t="s">
        <v>23</v>
      </c>
      <c r="C1842" t="s">
        <v>34</v>
      </c>
      <c r="D1842" s="2">
        <v>126343550.05</v>
      </c>
      <c r="E1842" s="2">
        <v>82568518.980000004</v>
      </c>
      <c r="F1842" s="2">
        <v>68854939.709999993</v>
      </c>
      <c r="G1842" s="2">
        <v>21012078.66</v>
      </c>
    </row>
    <row r="1843" spans="1:7" x14ac:dyDescent="0.25">
      <c r="A1843" s="1">
        <v>45078</v>
      </c>
      <c r="B1843" t="s">
        <v>43</v>
      </c>
      <c r="C1843" t="s">
        <v>127</v>
      </c>
      <c r="D1843" s="2">
        <v>6720858</v>
      </c>
      <c r="E1843" s="2">
        <v>5213423.22</v>
      </c>
      <c r="F1843" s="2">
        <v>4872327.0999999996</v>
      </c>
      <c r="G1843" s="2">
        <v>134841.73000000001</v>
      </c>
    </row>
    <row r="1844" spans="1:7" x14ac:dyDescent="0.25">
      <c r="A1844" s="1">
        <v>45078</v>
      </c>
      <c r="B1844" t="s">
        <v>9</v>
      </c>
      <c r="C1844" t="s">
        <v>57</v>
      </c>
      <c r="D1844" s="2">
        <v>109735667.83</v>
      </c>
      <c r="E1844" s="2">
        <v>750048672.5</v>
      </c>
      <c r="F1844" s="2">
        <v>640471273.25999999</v>
      </c>
      <c r="G1844" s="2">
        <v>6693541.6399999997</v>
      </c>
    </row>
    <row r="1845" spans="1:7" x14ac:dyDescent="0.25">
      <c r="A1845" s="1">
        <v>45078</v>
      </c>
      <c r="B1845" t="s">
        <v>54</v>
      </c>
      <c r="C1845" t="s">
        <v>103</v>
      </c>
      <c r="D1845" s="2">
        <v>68180380.590000004</v>
      </c>
      <c r="E1845" s="2">
        <v>36690382.600000001</v>
      </c>
      <c r="F1845" s="2">
        <v>17539033.440000001</v>
      </c>
      <c r="G1845" s="2">
        <v>5508357.2000000002</v>
      </c>
    </row>
    <row r="1846" spans="1:7" x14ac:dyDescent="0.25">
      <c r="A1846" s="1">
        <v>45078</v>
      </c>
      <c r="B1846" t="s">
        <v>17</v>
      </c>
      <c r="C1846" t="s">
        <v>57</v>
      </c>
      <c r="D1846" s="2">
        <v>25701145.280000001</v>
      </c>
      <c r="E1846" s="2">
        <v>467244183.01999998</v>
      </c>
      <c r="F1846" s="2">
        <v>366568633.58999997</v>
      </c>
      <c r="G1846" s="2">
        <v>2654783.9500000002</v>
      </c>
    </row>
    <row r="1847" spans="1:7" x14ac:dyDescent="0.25">
      <c r="A1847" s="1">
        <v>45078</v>
      </c>
      <c r="B1847" t="s">
        <v>65</v>
      </c>
      <c r="C1847" t="s">
        <v>72</v>
      </c>
      <c r="D1847" s="2">
        <v>7959152098.3800001</v>
      </c>
      <c r="E1847" s="2">
        <v>7964531142.2600002</v>
      </c>
      <c r="F1847" s="2">
        <v>7964433716.5699997</v>
      </c>
      <c r="G1847" s="2">
        <v>34313188</v>
      </c>
    </row>
    <row r="1848" spans="1:7" x14ac:dyDescent="0.25">
      <c r="A1848" s="1">
        <v>45078</v>
      </c>
      <c r="B1848" t="s">
        <v>54</v>
      </c>
      <c r="C1848" t="s">
        <v>129</v>
      </c>
      <c r="D1848" s="2">
        <v>274879870.97000003</v>
      </c>
      <c r="E1848" s="2">
        <v>90219561.189999998</v>
      </c>
      <c r="F1848" s="2">
        <v>77961286.590000004</v>
      </c>
      <c r="G1848" s="2">
        <v>129059946.23999999</v>
      </c>
    </row>
    <row r="1849" spans="1:7" x14ac:dyDescent="0.25">
      <c r="A1849" s="1">
        <v>45078</v>
      </c>
      <c r="B1849" t="s">
        <v>7</v>
      </c>
      <c r="C1849" t="s">
        <v>68</v>
      </c>
      <c r="D1849" s="2">
        <v>798161776.98000002</v>
      </c>
      <c r="E1849" s="2">
        <v>1384241118.1600001</v>
      </c>
      <c r="F1849" s="2">
        <v>1065274364.6</v>
      </c>
      <c r="G1849" s="2">
        <v>68034469.579999998</v>
      </c>
    </row>
    <row r="1850" spans="1:7" x14ac:dyDescent="0.25">
      <c r="A1850" s="1">
        <v>45078</v>
      </c>
      <c r="B1850" t="s">
        <v>65</v>
      </c>
      <c r="C1850" t="s">
        <v>57</v>
      </c>
      <c r="D1850" s="2">
        <v>290727381.61000001</v>
      </c>
      <c r="E1850" s="2">
        <v>230339033.06999999</v>
      </c>
      <c r="F1850" s="2">
        <v>181376710.37</v>
      </c>
      <c r="G1850" s="2">
        <v>286876.34000000003</v>
      </c>
    </row>
    <row r="1851" spans="1:7" x14ac:dyDescent="0.25">
      <c r="A1851" s="1">
        <v>45078</v>
      </c>
      <c r="B1851" t="s">
        <v>26</v>
      </c>
      <c r="C1851" t="s">
        <v>72</v>
      </c>
      <c r="D1851" s="2">
        <v>5263185.2</v>
      </c>
      <c r="E1851" s="2">
        <v>12602910.51</v>
      </c>
      <c r="F1851" s="2">
        <v>11388358.83</v>
      </c>
      <c r="G1851">
        <v>0</v>
      </c>
    </row>
    <row r="1852" spans="1:7" x14ac:dyDescent="0.25">
      <c r="A1852" s="1">
        <v>45078</v>
      </c>
      <c r="B1852" t="s">
        <v>33</v>
      </c>
      <c r="C1852" t="s">
        <v>57</v>
      </c>
      <c r="D1852" s="2">
        <v>934197400.26999998</v>
      </c>
      <c r="E1852" s="2">
        <v>1968253713.78</v>
      </c>
      <c r="F1852" s="2">
        <v>1651021391.6400001</v>
      </c>
      <c r="G1852" s="2">
        <v>114021959.13</v>
      </c>
    </row>
    <row r="1853" spans="1:7" x14ac:dyDescent="0.25">
      <c r="A1853" s="1">
        <v>45078</v>
      </c>
      <c r="B1853" t="s">
        <v>23</v>
      </c>
      <c r="C1853" t="s">
        <v>57</v>
      </c>
      <c r="D1853" s="2">
        <v>236469016.69</v>
      </c>
      <c r="E1853" s="2">
        <v>781679170.19000006</v>
      </c>
      <c r="F1853" s="2">
        <v>631339113.20000005</v>
      </c>
      <c r="G1853" s="2">
        <v>3620364.45</v>
      </c>
    </row>
    <row r="1854" spans="1:7" x14ac:dyDescent="0.25">
      <c r="A1854" s="1">
        <v>45078</v>
      </c>
      <c r="B1854" t="s">
        <v>7</v>
      </c>
      <c r="C1854" t="s">
        <v>100</v>
      </c>
      <c r="D1854" s="2">
        <v>1996377244.75</v>
      </c>
      <c r="E1854" s="2">
        <v>3606102201.0500002</v>
      </c>
      <c r="F1854" s="2">
        <v>2779520499.0799999</v>
      </c>
      <c r="G1854" s="2">
        <v>147736575.25999999</v>
      </c>
    </row>
    <row r="1855" spans="1:7" x14ac:dyDescent="0.25">
      <c r="A1855" s="1">
        <v>45078</v>
      </c>
      <c r="B1855" t="s">
        <v>54</v>
      </c>
      <c r="C1855" t="s">
        <v>12</v>
      </c>
      <c r="D1855" s="2">
        <v>23257267.48</v>
      </c>
      <c r="E1855" s="2">
        <v>12619986.529999999</v>
      </c>
      <c r="F1855" s="2">
        <v>12525737.83</v>
      </c>
      <c r="G1855" s="2">
        <v>3100070.02</v>
      </c>
    </row>
    <row r="1856" spans="1:7" x14ac:dyDescent="0.25">
      <c r="A1856" s="1">
        <v>45078</v>
      </c>
      <c r="B1856" t="s">
        <v>17</v>
      </c>
      <c r="C1856" t="s">
        <v>75</v>
      </c>
      <c r="D1856" s="2">
        <v>21541664.800000001</v>
      </c>
      <c r="E1856" s="2">
        <v>9343563.6300000008</v>
      </c>
      <c r="F1856" s="2">
        <v>11091506.99</v>
      </c>
      <c r="G1856" s="2">
        <v>2448575.36</v>
      </c>
    </row>
    <row r="1857" spans="1:7" x14ac:dyDescent="0.25">
      <c r="A1857" s="1">
        <v>45078</v>
      </c>
      <c r="B1857" t="s">
        <v>11</v>
      </c>
      <c r="C1857" t="s">
        <v>57</v>
      </c>
      <c r="D1857" s="2">
        <v>142406437.31</v>
      </c>
      <c r="E1857" s="2">
        <v>164273076.09999999</v>
      </c>
      <c r="F1857" s="2">
        <v>157594885.41</v>
      </c>
      <c r="G1857" s="2">
        <v>1572486.25</v>
      </c>
    </row>
    <row r="1858" spans="1:7" x14ac:dyDescent="0.25">
      <c r="A1858" s="1">
        <v>45078</v>
      </c>
      <c r="B1858" t="s">
        <v>9</v>
      </c>
      <c r="C1858" t="s">
        <v>128</v>
      </c>
      <c r="D1858" s="2">
        <v>169109818.46000001</v>
      </c>
      <c r="E1858" s="2">
        <v>101205898.68000001</v>
      </c>
      <c r="F1858" s="2">
        <v>92934277.489999995</v>
      </c>
      <c r="G1858" s="2">
        <v>72471418.829999998</v>
      </c>
    </row>
    <row r="1859" spans="1:7" x14ac:dyDescent="0.25">
      <c r="A1859" s="1">
        <v>45078</v>
      </c>
      <c r="B1859" t="s">
        <v>54</v>
      </c>
      <c r="C1859" t="s">
        <v>57</v>
      </c>
      <c r="D1859" s="2">
        <v>1927423458.1300001</v>
      </c>
      <c r="E1859" s="2">
        <v>7077577051.6599998</v>
      </c>
      <c r="F1859" s="2">
        <v>5073546054.9899998</v>
      </c>
      <c r="G1859" s="2">
        <v>53775475.68</v>
      </c>
    </row>
    <row r="1860" spans="1:7" x14ac:dyDescent="0.25">
      <c r="A1860" s="1">
        <v>45078</v>
      </c>
      <c r="B1860" t="s">
        <v>33</v>
      </c>
      <c r="C1860" t="s">
        <v>90</v>
      </c>
      <c r="D1860" s="2">
        <v>1574505.74</v>
      </c>
      <c r="E1860" s="2">
        <v>8249164.29</v>
      </c>
      <c r="F1860" s="2">
        <v>8761472.3200000003</v>
      </c>
      <c r="G1860" s="2">
        <v>886911.07</v>
      </c>
    </row>
    <row r="1861" spans="1:7" x14ac:dyDescent="0.25">
      <c r="A1861" s="1">
        <v>45078</v>
      </c>
      <c r="B1861" t="s">
        <v>23</v>
      </c>
      <c r="C1861" t="s">
        <v>102</v>
      </c>
      <c r="D1861" s="2">
        <v>6349331278.1800003</v>
      </c>
      <c r="E1861" s="2">
        <v>7026799611.3999996</v>
      </c>
      <c r="F1861" s="2">
        <v>7067114607.75</v>
      </c>
      <c r="G1861" s="2">
        <v>183075437.31</v>
      </c>
    </row>
    <row r="1862" spans="1:7" x14ac:dyDescent="0.25">
      <c r="A1862" s="1">
        <v>45078</v>
      </c>
      <c r="B1862" t="s">
        <v>54</v>
      </c>
      <c r="C1862" t="s">
        <v>72</v>
      </c>
      <c r="D1862" s="2">
        <v>645101005.86000001</v>
      </c>
      <c r="E1862" s="2">
        <v>669592955.91999996</v>
      </c>
      <c r="F1862" s="2">
        <v>657076768.07000005</v>
      </c>
      <c r="G1862" s="2">
        <v>43284355.920000002</v>
      </c>
    </row>
    <row r="1863" spans="1:7" x14ac:dyDescent="0.25">
      <c r="A1863" s="1">
        <v>45078</v>
      </c>
      <c r="B1863" t="s">
        <v>54</v>
      </c>
      <c r="C1863" t="s">
        <v>120</v>
      </c>
      <c r="D1863" s="2">
        <v>211103083.13</v>
      </c>
      <c r="E1863" s="2">
        <v>105157932.68000001</v>
      </c>
      <c r="F1863" s="2">
        <v>125358459.14</v>
      </c>
      <c r="G1863" s="2">
        <v>70461206.260000005</v>
      </c>
    </row>
    <row r="1864" spans="1:7" x14ac:dyDescent="0.25">
      <c r="A1864" s="1">
        <v>45108</v>
      </c>
      <c r="B1864" t="s">
        <v>27</v>
      </c>
      <c r="C1864" t="s">
        <v>42</v>
      </c>
      <c r="D1864" s="2">
        <v>26200</v>
      </c>
      <c r="E1864">
        <v>0</v>
      </c>
      <c r="F1864">
        <v>0</v>
      </c>
      <c r="G1864" s="2">
        <v>5890</v>
      </c>
    </row>
    <row r="1865" spans="1:7" x14ac:dyDescent="0.25">
      <c r="A1865" s="1">
        <v>45108</v>
      </c>
      <c r="B1865" t="s">
        <v>9</v>
      </c>
      <c r="C1865" t="s">
        <v>10</v>
      </c>
      <c r="D1865" s="2">
        <v>203090.29</v>
      </c>
      <c r="E1865" s="2">
        <v>148390.84</v>
      </c>
      <c r="F1865" s="2">
        <v>148390.84</v>
      </c>
      <c r="G1865">
        <v>0</v>
      </c>
    </row>
    <row r="1866" spans="1:7" x14ac:dyDescent="0.25">
      <c r="A1866" s="1">
        <v>45108</v>
      </c>
      <c r="B1866" t="s">
        <v>36</v>
      </c>
      <c r="C1866" t="s">
        <v>49</v>
      </c>
      <c r="D1866" s="2">
        <v>34300665.259999998</v>
      </c>
      <c r="E1866" s="2">
        <v>34300665.259999998</v>
      </c>
      <c r="F1866" s="2">
        <v>34300665.259999998</v>
      </c>
      <c r="G1866">
        <v>0</v>
      </c>
    </row>
    <row r="1867" spans="1:7" x14ac:dyDescent="0.25">
      <c r="A1867" s="1">
        <v>45108</v>
      </c>
      <c r="B1867" t="s">
        <v>23</v>
      </c>
      <c r="C1867" t="s">
        <v>24</v>
      </c>
      <c r="D1867">
        <v>0</v>
      </c>
      <c r="E1867">
        <v>0</v>
      </c>
      <c r="F1867">
        <v>0</v>
      </c>
      <c r="G1867" s="2">
        <v>-2000000</v>
      </c>
    </row>
    <row r="1868" spans="1:7" x14ac:dyDescent="0.25">
      <c r="A1868" s="1">
        <v>45108</v>
      </c>
      <c r="B1868" t="s">
        <v>26</v>
      </c>
      <c r="C1868" t="s">
        <v>22</v>
      </c>
      <c r="D1868">
        <v>0</v>
      </c>
      <c r="E1868" s="2">
        <v>6273291.8200000003</v>
      </c>
      <c r="F1868" s="2">
        <v>6273291.8200000003</v>
      </c>
      <c r="G1868">
        <v>0</v>
      </c>
    </row>
    <row r="1869" spans="1:7" x14ac:dyDescent="0.25">
      <c r="A1869" s="1">
        <v>45108</v>
      </c>
      <c r="B1869" t="s">
        <v>104</v>
      </c>
      <c r="C1869" t="s">
        <v>57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 s="1">
        <v>45108</v>
      </c>
      <c r="B1870" t="s">
        <v>15</v>
      </c>
      <c r="C1870" t="s">
        <v>22</v>
      </c>
      <c r="D1870">
        <v>0</v>
      </c>
      <c r="E1870" s="2">
        <v>4175381.68</v>
      </c>
      <c r="F1870" s="2">
        <v>4373628.13</v>
      </c>
      <c r="G1870">
        <v>0</v>
      </c>
    </row>
    <row r="1871" spans="1:7" x14ac:dyDescent="0.25">
      <c r="A1871" s="1">
        <v>45108</v>
      </c>
      <c r="B1871" t="s">
        <v>91</v>
      </c>
      <c r="C1871" t="s">
        <v>22</v>
      </c>
      <c r="D1871">
        <v>0</v>
      </c>
      <c r="E1871" s="2">
        <v>15628471.82</v>
      </c>
      <c r="F1871" s="2">
        <v>15640749.66</v>
      </c>
      <c r="G1871">
        <v>0</v>
      </c>
    </row>
    <row r="1872" spans="1:7" x14ac:dyDescent="0.25">
      <c r="A1872" s="1">
        <v>45108</v>
      </c>
      <c r="B1872" t="s">
        <v>23</v>
      </c>
      <c r="C1872" t="s">
        <v>58</v>
      </c>
      <c r="D1872" s="2">
        <v>38298.080000000002</v>
      </c>
      <c r="E1872" s="2">
        <v>38298.080000000002</v>
      </c>
      <c r="F1872" s="2">
        <v>1538298.08</v>
      </c>
      <c r="G1872" s="2">
        <v>195299</v>
      </c>
    </row>
    <row r="1873" spans="1:7" x14ac:dyDescent="0.25">
      <c r="A1873" s="1">
        <v>45108</v>
      </c>
      <c r="B1873" t="s">
        <v>83</v>
      </c>
      <c r="C1873" t="s">
        <v>131</v>
      </c>
      <c r="D1873">
        <v>0</v>
      </c>
      <c r="E1873">
        <v>0</v>
      </c>
      <c r="F1873" s="2">
        <v>4505.5</v>
      </c>
      <c r="G1873">
        <v>0</v>
      </c>
    </row>
    <row r="1874" spans="1:7" x14ac:dyDescent="0.25">
      <c r="A1874" s="1">
        <v>45108</v>
      </c>
      <c r="B1874" t="s">
        <v>27</v>
      </c>
      <c r="C1874" t="s">
        <v>22</v>
      </c>
      <c r="D1874">
        <v>0</v>
      </c>
      <c r="E1874" s="2">
        <v>26852176.219999999</v>
      </c>
      <c r="F1874" s="2">
        <v>26852176.219999999</v>
      </c>
      <c r="G1874" s="2">
        <v>61334.16</v>
      </c>
    </row>
    <row r="1875" spans="1:7" x14ac:dyDescent="0.25">
      <c r="A1875" s="1">
        <v>45108</v>
      </c>
      <c r="B1875" t="s">
        <v>91</v>
      </c>
      <c r="C1875" t="s">
        <v>16</v>
      </c>
      <c r="D1875">
        <v>0</v>
      </c>
      <c r="E1875" s="2">
        <v>229940.45</v>
      </c>
      <c r="F1875" s="2">
        <v>229940.45</v>
      </c>
      <c r="G1875">
        <v>0</v>
      </c>
    </row>
    <row r="1876" spans="1:7" x14ac:dyDescent="0.25">
      <c r="A1876" s="1">
        <v>45108</v>
      </c>
      <c r="B1876" t="s">
        <v>28</v>
      </c>
      <c r="C1876" t="s">
        <v>29</v>
      </c>
      <c r="D1876" s="2">
        <v>133806000.94</v>
      </c>
      <c r="E1876" s="2">
        <v>133560369.48999999</v>
      </c>
      <c r="F1876" s="2">
        <v>189060414.88999999</v>
      </c>
      <c r="G1876">
        <v>0</v>
      </c>
    </row>
    <row r="1877" spans="1:7" x14ac:dyDescent="0.25">
      <c r="A1877" s="1">
        <v>45108</v>
      </c>
      <c r="B1877" t="s">
        <v>37</v>
      </c>
      <c r="C1877" t="s">
        <v>49</v>
      </c>
      <c r="D1877">
        <v>0</v>
      </c>
      <c r="E1877">
        <v>0</v>
      </c>
      <c r="F1877">
        <v>0</v>
      </c>
      <c r="G1877" s="2">
        <v>5635</v>
      </c>
    </row>
    <row r="1878" spans="1:7" x14ac:dyDescent="0.25">
      <c r="A1878" s="1">
        <v>45108</v>
      </c>
      <c r="B1878" t="s">
        <v>11</v>
      </c>
      <c r="C1878" t="s">
        <v>22</v>
      </c>
      <c r="D1878" s="2">
        <v>7827630</v>
      </c>
      <c r="E1878" s="2">
        <v>11747106.300000001</v>
      </c>
      <c r="F1878" s="2">
        <v>11747106.300000001</v>
      </c>
      <c r="G1878">
        <v>0</v>
      </c>
    </row>
    <row r="1879" spans="1:7" x14ac:dyDescent="0.25">
      <c r="A1879" s="1">
        <v>45108</v>
      </c>
      <c r="B1879" t="s">
        <v>33</v>
      </c>
      <c r="C1879" t="s">
        <v>34</v>
      </c>
      <c r="D1879">
        <v>0</v>
      </c>
      <c r="E1879" s="2">
        <v>808302.59</v>
      </c>
      <c r="F1879" s="2">
        <v>808302.59</v>
      </c>
      <c r="G1879">
        <v>0</v>
      </c>
    </row>
    <row r="1880" spans="1:7" x14ac:dyDescent="0.25">
      <c r="A1880" s="1">
        <v>45108</v>
      </c>
      <c r="B1880" t="s">
        <v>13</v>
      </c>
      <c r="C1880" t="s">
        <v>20</v>
      </c>
      <c r="D1880" s="2">
        <v>271287.06</v>
      </c>
      <c r="E1880" s="2">
        <v>110502.81</v>
      </c>
      <c r="F1880" s="2">
        <v>110502.81</v>
      </c>
      <c r="G1880" s="2">
        <v>254800</v>
      </c>
    </row>
    <row r="1881" spans="1:7" x14ac:dyDescent="0.25">
      <c r="A1881" s="1">
        <v>45108</v>
      </c>
      <c r="B1881" t="s">
        <v>11</v>
      </c>
      <c r="C1881" t="s">
        <v>78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 s="1">
        <v>45108</v>
      </c>
      <c r="B1882" t="s">
        <v>36</v>
      </c>
      <c r="C1882" t="s">
        <v>14</v>
      </c>
      <c r="D1882" s="2">
        <v>6526419.5199999996</v>
      </c>
      <c r="E1882" s="2">
        <v>3152368.69</v>
      </c>
      <c r="F1882" s="2">
        <v>3152368.69</v>
      </c>
      <c r="G1882">
        <v>0</v>
      </c>
    </row>
    <row r="1883" spans="1:7" x14ac:dyDescent="0.25">
      <c r="A1883" s="1">
        <v>45108</v>
      </c>
      <c r="B1883" t="s">
        <v>37</v>
      </c>
      <c r="C1883" t="s">
        <v>70</v>
      </c>
      <c r="D1883">
        <v>0</v>
      </c>
      <c r="E1883">
        <v>0</v>
      </c>
      <c r="F1883">
        <v>0</v>
      </c>
      <c r="G1883" s="2">
        <v>16194</v>
      </c>
    </row>
    <row r="1884" spans="1:7" x14ac:dyDescent="0.25">
      <c r="A1884" s="1">
        <v>45108</v>
      </c>
      <c r="B1884" t="s">
        <v>15</v>
      </c>
      <c r="C1884" t="s">
        <v>30</v>
      </c>
      <c r="D1884">
        <v>0</v>
      </c>
      <c r="E1884" s="2">
        <v>20812.5</v>
      </c>
      <c r="F1884" s="2">
        <v>20812.5</v>
      </c>
      <c r="G1884">
        <v>0</v>
      </c>
    </row>
    <row r="1885" spans="1:7" x14ac:dyDescent="0.25">
      <c r="A1885" s="1">
        <v>45108</v>
      </c>
      <c r="B1885" t="s">
        <v>33</v>
      </c>
      <c r="C1885" t="s">
        <v>40</v>
      </c>
      <c r="D1885">
        <v>0</v>
      </c>
      <c r="E1885">
        <v>0</v>
      </c>
      <c r="F1885">
        <v>0</v>
      </c>
      <c r="G1885" s="2">
        <v>250000</v>
      </c>
    </row>
    <row r="1886" spans="1:7" x14ac:dyDescent="0.25">
      <c r="A1886" s="1">
        <v>45108</v>
      </c>
      <c r="B1886" t="s">
        <v>65</v>
      </c>
      <c r="C1886" t="s">
        <v>12</v>
      </c>
      <c r="D1886" s="2">
        <v>26565</v>
      </c>
      <c r="E1886" s="2">
        <v>1955.97</v>
      </c>
      <c r="F1886" s="2">
        <v>1955.97</v>
      </c>
      <c r="G1886">
        <v>0</v>
      </c>
    </row>
    <row r="1887" spans="1:7" x14ac:dyDescent="0.25">
      <c r="A1887" s="1">
        <v>45108</v>
      </c>
      <c r="B1887" t="s">
        <v>23</v>
      </c>
      <c r="C1887" t="s">
        <v>16</v>
      </c>
      <c r="D1887" s="2">
        <v>6316428.8399999999</v>
      </c>
      <c r="E1887" s="2">
        <v>14008046.130000001</v>
      </c>
      <c r="F1887" s="2">
        <v>16942631.449999999</v>
      </c>
      <c r="G1887" s="2">
        <v>1162231.6599999999</v>
      </c>
    </row>
    <row r="1888" spans="1:7" x14ac:dyDescent="0.25">
      <c r="A1888" s="1">
        <v>45108</v>
      </c>
      <c r="B1888" t="s">
        <v>62</v>
      </c>
      <c r="C1888" t="s">
        <v>39</v>
      </c>
      <c r="D1888" s="2">
        <v>1025656062</v>
      </c>
      <c r="E1888" s="2">
        <v>200000000</v>
      </c>
      <c r="F1888" s="2">
        <v>237740302</v>
      </c>
      <c r="G1888" s="2">
        <v>12259698</v>
      </c>
    </row>
    <row r="1889" spans="1:7" x14ac:dyDescent="0.25">
      <c r="A1889" s="1">
        <v>45108</v>
      </c>
      <c r="B1889" t="s">
        <v>15</v>
      </c>
      <c r="C1889" t="s">
        <v>51</v>
      </c>
      <c r="D1889" s="2">
        <v>-314781.74</v>
      </c>
      <c r="E1889" s="2">
        <v>2793303.27</v>
      </c>
      <c r="F1889" s="2">
        <v>2605051.88</v>
      </c>
      <c r="G1889" s="2">
        <v>37926.92</v>
      </c>
    </row>
    <row r="1890" spans="1:7" x14ac:dyDescent="0.25">
      <c r="A1890" s="1">
        <v>45108</v>
      </c>
      <c r="B1890" t="s">
        <v>23</v>
      </c>
      <c r="C1890" t="s">
        <v>22</v>
      </c>
      <c r="D1890" s="2">
        <v>11000000</v>
      </c>
      <c r="E1890" s="2">
        <v>82422414.620000005</v>
      </c>
      <c r="F1890" s="2">
        <v>82422414.620000005</v>
      </c>
      <c r="G1890">
        <v>0</v>
      </c>
    </row>
    <row r="1891" spans="1:7" x14ac:dyDescent="0.25">
      <c r="A1891" s="1">
        <v>45108</v>
      </c>
      <c r="B1891" t="s">
        <v>91</v>
      </c>
      <c r="C1891" t="s">
        <v>78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 s="1">
        <v>45108</v>
      </c>
      <c r="B1892" t="s">
        <v>54</v>
      </c>
      <c r="C1892" t="s">
        <v>74</v>
      </c>
      <c r="D1892">
        <v>0</v>
      </c>
      <c r="E1892" s="2">
        <v>52994.76</v>
      </c>
      <c r="F1892" s="2">
        <v>79296.75</v>
      </c>
      <c r="G1892" s="2">
        <v>37960</v>
      </c>
    </row>
    <row r="1893" spans="1:7" x14ac:dyDescent="0.25">
      <c r="A1893" s="1">
        <v>45108</v>
      </c>
      <c r="B1893" t="s">
        <v>13</v>
      </c>
      <c r="C1893" t="s">
        <v>16</v>
      </c>
      <c r="D1893">
        <v>0</v>
      </c>
      <c r="E1893" s="2">
        <v>8807.4</v>
      </c>
      <c r="F1893" s="2">
        <v>8807.4</v>
      </c>
      <c r="G1893">
        <v>0</v>
      </c>
    </row>
    <row r="1894" spans="1:7" x14ac:dyDescent="0.25">
      <c r="A1894" s="1">
        <v>45108</v>
      </c>
      <c r="B1894" t="s">
        <v>13</v>
      </c>
      <c r="C1894" t="s">
        <v>59</v>
      </c>
      <c r="D1894">
        <v>0</v>
      </c>
      <c r="E1894" s="2">
        <v>38498.68</v>
      </c>
      <c r="F1894" s="2">
        <v>38498.68</v>
      </c>
      <c r="G1894" s="2">
        <v>53452</v>
      </c>
    </row>
    <row r="1895" spans="1:7" x14ac:dyDescent="0.25">
      <c r="A1895" s="1">
        <v>45108</v>
      </c>
      <c r="B1895" t="s">
        <v>37</v>
      </c>
      <c r="C1895" t="s">
        <v>16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 s="1">
        <v>45108</v>
      </c>
      <c r="B1896" t="s">
        <v>62</v>
      </c>
      <c r="C1896" t="s">
        <v>63</v>
      </c>
      <c r="D1896">
        <v>0</v>
      </c>
      <c r="E1896">
        <v>0</v>
      </c>
      <c r="F1896">
        <v>0</v>
      </c>
      <c r="G1896" s="2">
        <v>18180</v>
      </c>
    </row>
    <row r="1897" spans="1:7" x14ac:dyDescent="0.25">
      <c r="A1897" s="1">
        <v>45108</v>
      </c>
      <c r="B1897" t="s">
        <v>47</v>
      </c>
      <c r="C1897" t="s">
        <v>22</v>
      </c>
      <c r="D1897">
        <v>0</v>
      </c>
      <c r="E1897" s="2">
        <v>4214597.0199999996</v>
      </c>
      <c r="F1897" s="2">
        <v>4214597.0199999996</v>
      </c>
      <c r="G1897">
        <v>0</v>
      </c>
    </row>
    <row r="1898" spans="1:7" x14ac:dyDescent="0.25">
      <c r="A1898" s="1">
        <v>45108</v>
      </c>
      <c r="B1898" t="s">
        <v>11</v>
      </c>
      <c r="C1898" t="s">
        <v>12</v>
      </c>
      <c r="D1898" s="2">
        <v>88880.73</v>
      </c>
      <c r="E1898" s="2">
        <v>141299.46</v>
      </c>
      <c r="F1898" s="2">
        <v>544082.61</v>
      </c>
      <c r="G1898">
        <v>0</v>
      </c>
    </row>
    <row r="1899" spans="1:7" x14ac:dyDescent="0.25">
      <c r="A1899" s="1">
        <v>45108</v>
      </c>
      <c r="B1899" t="s">
        <v>31</v>
      </c>
      <c r="C1899" t="s">
        <v>53</v>
      </c>
      <c r="D1899" s="2">
        <v>3213045537.5100002</v>
      </c>
      <c r="E1899" s="2">
        <v>3213045537.5100002</v>
      </c>
      <c r="F1899" s="2">
        <v>3213045537.5100002</v>
      </c>
      <c r="G1899">
        <v>0</v>
      </c>
    </row>
    <row r="1900" spans="1:7" x14ac:dyDescent="0.25">
      <c r="A1900" s="1">
        <v>45108</v>
      </c>
      <c r="B1900" t="s">
        <v>17</v>
      </c>
      <c r="C1900" t="s">
        <v>59</v>
      </c>
      <c r="D1900">
        <v>0</v>
      </c>
      <c r="E1900">
        <v>0</v>
      </c>
      <c r="F1900">
        <v>0</v>
      </c>
      <c r="G1900" s="2">
        <v>1800</v>
      </c>
    </row>
    <row r="1901" spans="1:7" x14ac:dyDescent="0.25">
      <c r="A1901" s="1">
        <v>45108</v>
      </c>
      <c r="B1901" t="s">
        <v>27</v>
      </c>
      <c r="C1901" t="s">
        <v>56</v>
      </c>
      <c r="D1901" s="2">
        <v>38909.47</v>
      </c>
      <c r="E1901" s="2">
        <v>143054.84</v>
      </c>
      <c r="F1901" s="2">
        <v>136185.09</v>
      </c>
      <c r="G1901">
        <v>0</v>
      </c>
    </row>
    <row r="1902" spans="1:7" x14ac:dyDescent="0.25">
      <c r="A1902" s="1">
        <v>45108</v>
      </c>
      <c r="B1902" t="s">
        <v>43</v>
      </c>
      <c r="C1902" t="s">
        <v>61</v>
      </c>
      <c r="D1902" s="2">
        <v>2240363.0299999998</v>
      </c>
      <c r="E1902" s="2">
        <v>1285502.79</v>
      </c>
      <c r="F1902" s="2">
        <v>1414435.06</v>
      </c>
      <c r="G1902">
        <v>0</v>
      </c>
    </row>
    <row r="1903" spans="1:7" x14ac:dyDescent="0.25">
      <c r="A1903" s="1">
        <v>45108</v>
      </c>
      <c r="B1903" t="s">
        <v>17</v>
      </c>
      <c r="C1903" t="s">
        <v>48</v>
      </c>
      <c r="D1903">
        <v>0</v>
      </c>
      <c r="E1903">
        <v>0</v>
      </c>
      <c r="F1903">
        <v>0</v>
      </c>
      <c r="G1903" s="2">
        <v>4766194.4800000004</v>
      </c>
    </row>
    <row r="1904" spans="1:7" x14ac:dyDescent="0.25">
      <c r="A1904" s="1">
        <v>45108</v>
      </c>
      <c r="B1904" t="s">
        <v>26</v>
      </c>
      <c r="C1904" t="s">
        <v>101</v>
      </c>
      <c r="D1904">
        <v>0</v>
      </c>
      <c r="E1904" s="2">
        <v>156013547</v>
      </c>
      <c r="F1904" s="2">
        <v>156013547</v>
      </c>
      <c r="G1904">
        <v>0</v>
      </c>
    </row>
    <row r="1905" spans="1:7" x14ac:dyDescent="0.25">
      <c r="A1905" s="1">
        <v>45108</v>
      </c>
      <c r="B1905" t="s">
        <v>28</v>
      </c>
      <c r="C1905" t="s">
        <v>78</v>
      </c>
      <c r="D1905">
        <v>0</v>
      </c>
      <c r="E1905">
        <v>0</v>
      </c>
      <c r="F1905">
        <v>0</v>
      </c>
      <c r="G1905">
        <v>508.55</v>
      </c>
    </row>
    <row r="1906" spans="1:7" x14ac:dyDescent="0.25">
      <c r="A1906" s="1">
        <v>45108</v>
      </c>
      <c r="B1906" t="s">
        <v>11</v>
      </c>
      <c r="C1906" t="s">
        <v>55</v>
      </c>
      <c r="D1906" s="2">
        <v>99694.99</v>
      </c>
      <c r="E1906" s="2">
        <v>492269.43</v>
      </c>
      <c r="F1906" s="2">
        <v>492664.64</v>
      </c>
      <c r="G1906">
        <v>0</v>
      </c>
    </row>
    <row r="1907" spans="1:7" x14ac:dyDescent="0.25">
      <c r="A1907" s="1">
        <v>45108</v>
      </c>
      <c r="B1907" t="s">
        <v>54</v>
      </c>
      <c r="C1907" t="s">
        <v>55</v>
      </c>
      <c r="D1907" s="2">
        <v>116583.11</v>
      </c>
      <c r="E1907" s="2">
        <v>32361.99</v>
      </c>
      <c r="F1907" s="2">
        <v>17700.53</v>
      </c>
      <c r="G1907" s="2">
        <v>12747.43</v>
      </c>
    </row>
    <row r="1908" spans="1:7" x14ac:dyDescent="0.25">
      <c r="A1908" s="1">
        <v>45108</v>
      </c>
      <c r="B1908" t="s">
        <v>65</v>
      </c>
      <c r="C1908" t="s">
        <v>133</v>
      </c>
      <c r="D1908" s="2">
        <v>280000</v>
      </c>
      <c r="E1908">
        <v>0</v>
      </c>
      <c r="F1908">
        <v>0</v>
      </c>
      <c r="G1908">
        <v>0</v>
      </c>
    </row>
    <row r="1909" spans="1:7" x14ac:dyDescent="0.25">
      <c r="A1909" s="1">
        <v>45108</v>
      </c>
      <c r="B1909" t="s">
        <v>47</v>
      </c>
      <c r="C1909" t="s">
        <v>16</v>
      </c>
      <c r="D1909">
        <v>0</v>
      </c>
      <c r="E1909" s="2">
        <v>1475584.71</v>
      </c>
      <c r="F1909">
        <v>0</v>
      </c>
      <c r="G1909" s="2">
        <v>316141.21999999997</v>
      </c>
    </row>
    <row r="1910" spans="1:7" x14ac:dyDescent="0.25">
      <c r="A1910" s="1">
        <v>45108</v>
      </c>
      <c r="B1910" t="s">
        <v>7</v>
      </c>
      <c r="C1910" t="s">
        <v>34</v>
      </c>
      <c r="D1910" s="2">
        <v>18500000</v>
      </c>
      <c r="E1910">
        <v>0</v>
      </c>
      <c r="F1910">
        <v>0</v>
      </c>
      <c r="G1910">
        <v>0</v>
      </c>
    </row>
    <row r="1911" spans="1:7" x14ac:dyDescent="0.25">
      <c r="A1911" s="1">
        <v>45108</v>
      </c>
      <c r="B1911" t="s">
        <v>9</v>
      </c>
      <c r="C1911" t="s">
        <v>22</v>
      </c>
      <c r="D1911">
        <v>0</v>
      </c>
      <c r="E1911" s="2">
        <v>114238130.56999999</v>
      </c>
      <c r="F1911" s="2">
        <v>114238130.56999999</v>
      </c>
      <c r="G1911" s="2">
        <v>6627.04</v>
      </c>
    </row>
    <row r="1912" spans="1:7" x14ac:dyDescent="0.25">
      <c r="A1912" s="1">
        <v>45108</v>
      </c>
      <c r="B1912" t="s">
        <v>65</v>
      </c>
      <c r="C1912" t="s">
        <v>34</v>
      </c>
      <c r="D1912" s="2">
        <v>101845.96</v>
      </c>
      <c r="E1912" s="2">
        <v>33841.51</v>
      </c>
      <c r="F1912" s="2">
        <v>10771.65</v>
      </c>
      <c r="G1912" s="2">
        <v>70405.72</v>
      </c>
    </row>
    <row r="1913" spans="1:7" x14ac:dyDescent="0.25">
      <c r="A1913" s="1">
        <v>45108</v>
      </c>
      <c r="B1913" t="s">
        <v>69</v>
      </c>
      <c r="C1913" t="s">
        <v>22</v>
      </c>
      <c r="D1913" s="2">
        <v>14661.36</v>
      </c>
      <c r="E1913" s="2">
        <v>14818294.039999999</v>
      </c>
      <c r="F1913" s="2">
        <v>14817297.779999999</v>
      </c>
      <c r="G1913">
        <v>0</v>
      </c>
    </row>
    <row r="1914" spans="1:7" x14ac:dyDescent="0.25">
      <c r="A1914" s="1">
        <v>45108</v>
      </c>
      <c r="B1914" t="s">
        <v>43</v>
      </c>
      <c r="C1914" t="s">
        <v>78</v>
      </c>
      <c r="D1914">
        <v>0</v>
      </c>
      <c r="E1914">
        <v>0</v>
      </c>
      <c r="F1914">
        <v>0</v>
      </c>
      <c r="G1914" s="2">
        <v>10562.44</v>
      </c>
    </row>
    <row r="1915" spans="1:7" x14ac:dyDescent="0.25">
      <c r="A1915" s="1">
        <v>45108</v>
      </c>
      <c r="B1915" t="s">
        <v>26</v>
      </c>
      <c r="C1915" t="s">
        <v>48</v>
      </c>
      <c r="D1915" s="2">
        <v>122727043.17</v>
      </c>
      <c r="E1915" s="2">
        <v>96246651.989999995</v>
      </c>
      <c r="F1915" s="2">
        <v>96265041.829999998</v>
      </c>
      <c r="G1915">
        <v>0</v>
      </c>
    </row>
    <row r="1916" spans="1:7" x14ac:dyDescent="0.25">
      <c r="A1916" s="1">
        <v>45108</v>
      </c>
      <c r="B1916" t="s">
        <v>65</v>
      </c>
      <c r="C1916" t="s">
        <v>14</v>
      </c>
      <c r="D1916" s="2">
        <v>1524183.56</v>
      </c>
      <c r="E1916">
        <v>0</v>
      </c>
      <c r="F1916">
        <v>0</v>
      </c>
      <c r="G1916" s="2">
        <v>2712.53</v>
      </c>
    </row>
    <row r="1917" spans="1:7" x14ac:dyDescent="0.25">
      <c r="A1917" s="1">
        <v>45108</v>
      </c>
      <c r="B1917" t="s">
        <v>33</v>
      </c>
      <c r="C1917" t="s">
        <v>67</v>
      </c>
      <c r="D1917" s="2">
        <v>1810261.82</v>
      </c>
      <c r="E1917" s="2">
        <v>3053267.61</v>
      </c>
      <c r="F1917" s="2">
        <v>3087991.76</v>
      </c>
      <c r="G1917" s="2">
        <v>425777</v>
      </c>
    </row>
    <row r="1918" spans="1:7" x14ac:dyDescent="0.25">
      <c r="A1918" s="1">
        <v>45108</v>
      </c>
      <c r="B1918" t="s">
        <v>52</v>
      </c>
      <c r="C1918" t="s">
        <v>16</v>
      </c>
      <c r="D1918">
        <v>0</v>
      </c>
      <c r="E1918">
        <v>0</v>
      </c>
      <c r="F1918">
        <v>0</v>
      </c>
      <c r="G1918" s="2">
        <v>5973.26</v>
      </c>
    </row>
    <row r="1919" spans="1:7" x14ac:dyDescent="0.25">
      <c r="A1919" s="1">
        <v>45108</v>
      </c>
      <c r="B1919" t="s">
        <v>69</v>
      </c>
      <c r="C1919" t="s">
        <v>55</v>
      </c>
      <c r="D1919" s="2">
        <v>43229.21</v>
      </c>
      <c r="E1919" s="2">
        <v>92036.4</v>
      </c>
      <c r="F1919" s="2">
        <v>88570.71</v>
      </c>
      <c r="G1919" s="2">
        <v>417686.35</v>
      </c>
    </row>
    <row r="1920" spans="1:7" x14ac:dyDescent="0.25">
      <c r="A1920" s="1">
        <v>45108</v>
      </c>
      <c r="B1920" t="s">
        <v>91</v>
      </c>
      <c r="C1920" t="s">
        <v>12</v>
      </c>
      <c r="D1920">
        <v>0</v>
      </c>
      <c r="E1920" s="2">
        <v>53518.75</v>
      </c>
      <c r="F1920" s="2">
        <v>53518.75</v>
      </c>
      <c r="G1920" s="2">
        <v>20107.560000000001</v>
      </c>
    </row>
    <row r="1921" spans="1:7" x14ac:dyDescent="0.25">
      <c r="A1921" s="1">
        <v>45108</v>
      </c>
      <c r="B1921" t="s">
        <v>13</v>
      </c>
      <c r="C1921" t="s">
        <v>39</v>
      </c>
      <c r="D1921" s="2">
        <v>52885492</v>
      </c>
      <c r="E1921">
        <v>0</v>
      </c>
      <c r="F1921">
        <v>0</v>
      </c>
      <c r="G1921" s="2">
        <v>4651667.97</v>
      </c>
    </row>
    <row r="1922" spans="1:7" x14ac:dyDescent="0.25">
      <c r="A1922" s="1">
        <v>45108</v>
      </c>
      <c r="B1922" t="s">
        <v>9</v>
      </c>
      <c r="C1922" t="s">
        <v>78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 s="1">
        <v>45108</v>
      </c>
      <c r="B1923" t="s">
        <v>23</v>
      </c>
      <c r="C1923" t="s">
        <v>64</v>
      </c>
      <c r="D1923" s="2">
        <v>474519.57</v>
      </c>
      <c r="E1923" s="2">
        <v>2259094.88</v>
      </c>
      <c r="F1923" s="2">
        <v>1933497.45</v>
      </c>
      <c r="G1923" s="2">
        <v>302730.99</v>
      </c>
    </row>
    <row r="1924" spans="1:7" x14ac:dyDescent="0.25">
      <c r="A1924" s="1">
        <v>45108</v>
      </c>
      <c r="B1924" t="s">
        <v>13</v>
      </c>
      <c r="C1924" t="s">
        <v>12</v>
      </c>
      <c r="D1924" s="2">
        <v>28000</v>
      </c>
      <c r="E1924" s="2">
        <v>377667</v>
      </c>
      <c r="F1924" s="2">
        <v>377667</v>
      </c>
      <c r="G1924">
        <v>0</v>
      </c>
    </row>
    <row r="1925" spans="1:7" x14ac:dyDescent="0.25">
      <c r="A1925" s="1">
        <v>45108</v>
      </c>
      <c r="B1925" t="s">
        <v>27</v>
      </c>
      <c r="C1925" t="s">
        <v>57</v>
      </c>
      <c r="D1925" s="2">
        <v>541300</v>
      </c>
      <c r="E1925" s="2">
        <v>243401.86</v>
      </c>
      <c r="F1925" s="2">
        <v>252374.26</v>
      </c>
      <c r="G1925">
        <v>0</v>
      </c>
    </row>
    <row r="1926" spans="1:7" x14ac:dyDescent="0.25">
      <c r="A1926" s="1">
        <v>45108</v>
      </c>
      <c r="B1926" t="s">
        <v>47</v>
      </c>
      <c r="C1926" t="s">
        <v>78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 s="1">
        <v>45108</v>
      </c>
      <c r="B1927" t="s">
        <v>33</v>
      </c>
      <c r="C1927" t="s">
        <v>16</v>
      </c>
      <c r="D1927" s="2">
        <v>246786903.11000001</v>
      </c>
      <c r="E1927" s="2">
        <v>6441282.5800000001</v>
      </c>
      <c r="F1927" s="2">
        <v>2498213.9500000002</v>
      </c>
      <c r="G1927" s="2">
        <v>1202116.42</v>
      </c>
    </row>
    <row r="1928" spans="1:7" x14ac:dyDescent="0.25">
      <c r="A1928" s="1">
        <v>45108</v>
      </c>
      <c r="B1928" t="s">
        <v>43</v>
      </c>
      <c r="C1928" t="s">
        <v>34</v>
      </c>
      <c r="D1928" s="2">
        <v>7995395.9699999997</v>
      </c>
      <c r="E1928">
        <v>0</v>
      </c>
      <c r="F1928">
        <v>0</v>
      </c>
      <c r="G1928">
        <v>0</v>
      </c>
    </row>
    <row r="1929" spans="1:7" x14ac:dyDescent="0.25">
      <c r="A1929" s="1">
        <v>45108</v>
      </c>
      <c r="B1929" t="s">
        <v>17</v>
      </c>
      <c r="C1929" t="s">
        <v>68</v>
      </c>
      <c r="D1929">
        <v>0</v>
      </c>
      <c r="E1929">
        <v>0</v>
      </c>
      <c r="F1929">
        <v>0</v>
      </c>
      <c r="G1929" s="2">
        <v>19961.740000000002</v>
      </c>
    </row>
    <row r="1930" spans="1:7" x14ac:dyDescent="0.25">
      <c r="A1930" s="1">
        <v>45108</v>
      </c>
      <c r="B1930" t="s">
        <v>28</v>
      </c>
      <c r="C1930" t="s">
        <v>99</v>
      </c>
      <c r="D1930" s="2">
        <v>2200000</v>
      </c>
      <c r="E1930" s="2">
        <v>5494974.04</v>
      </c>
      <c r="F1930" s="2">
        <v>5512316</v>
      </c>
      <c r="G1930">
        <v>0</v>
      </c>
    </row>
    <row r="1931" spans="1:7" x14ac:dyDescent="0.25">
      <c r="A1931" s="1">
        <v>45108</v>
      </c>
      <c r="B1931" t="s">
        <v>31</v>
      </c>
      <c r="C1931" t="s">
        <v>82</v>
      </c>
      <c r="D1931" s="2">
        <v>343000000</v>
      </c>
      <c r="E1931" s="2">
        <v>257831729445.54999</v>
      </c>
      <c r="F1931" s="2">
        <v>257831729445.54999</v>
      </c>
      <c r="G1931">
        <v>0</v>
      </c>
    </row>
    <row r="1932" spans="1:7" x14ac:dyDescent="0.25">
      <c r="A1932" s="1">
        <v>45108</v>
      </c>
      <c r="B1932" t="s">
        <v>33</v>
      </c>
      <c r="C1932" t="s">
        <v>24</v>
      </c>
      <c r="D1932" s="2">
        <v>2000000</v>
      </c>
      <c r="E1932" s="2">
        <v>1839023.18</v>
      </c>
      <c r="F1932" s="2">
        <v>1827609.15</v>
      </c>
      <c r="G1932">
        <v>0</v>
      </c>
    </row>
    <row r="1933" spans="1:7" x14ac:dyDescent="0.25">
      <c r="A1933" s="1">
        <v>45108</v>
      </c>
      <c r="B1933" t="s">
        <v>52</v>
      </c>
      <c r="C1933" t="s">
        <v>12</v>
      </c>
      <c r="D1933" s="2">
        <v>82956.3</v>
      </c>
      <c r="E1933" s="2">
        <v>96374.9</v>
      </c>
      <c r="F1933" s="2">
        <v>107550.21</v>
      </c>
      <c r="G1933" s="2">
        <v>4500</v>
      </c>
    </row>
    <row r="1934" spans="1:7" x14ac:dyDescent="0.25">
      <c r="A1934" s="1">
        <v>45108</v>
      </c>
      <c r="B1934" t="s">
        <v>28</v>
      </c>
      <c r="C1934" t="s">
        <v>12</v>
      </c>
      <c r="D1934" s="2">
        <v>-18652.75</v>
      </c>
      <c r="E1934" s="2">
        <v>10072.82</v>
      </c>
      <c r="F1934" s="2">
        <v>18076</v>
      </c>
      <c r="G1934">
        <v>0</v>
      </c>
    </row>
    <row r="1935" spans="1:7" x14ac:dyDescent="0.25">
      <c r="A1935" s="1">
        <v>45108</v>
      </c>
      <c r="B1935" t="s">
        <v>13</v>
      </c>
      <c r="C1935" t="s">
        <v>79</v>
      </c>
      <c r="D1935" s="2">
        <v>931290.47</v>
      </c>
      <c r="E1935">
        <v>0</v>
      </c>
      <c r="F1935" s="2">
        <v>347000</v>
      </c>
      <c r="G1935" s="2">
        <v>9198</v>
      </c>
    </row>
    <row r="1936" spans="1:7" x14ac:dyDescent="0.25">
      <c r="A1936" s="1">
        <v>45108</v>
      </c>
      <c r="B1936" t="s">
        <v>33</v>
      </c>
      <c r="C1936" t="s">
        <v>55</v>
      </c>
      <c r="D1936" s="2">
        <v>94022.1</v>
      </c>
      <c r="E1936" s="2">
        <v>157827.07</v>
      </c>
      <c r="F1936" s="2">
        <v>157827.07</v>
      </c>
      <c r="G1936" s="2">
        <v>15834.32</v>
      </c>
    </row>
    <row r="1937" spans="1:7" x14ac:dyDescent="0.25">
      <c r="A1937" s="1">
        <v>45108</v>
      </c>
      <c r="B1937" t="s">
        <v>36</v>
      </c>
      <c r="C1937" t="s">
        <v>38</v>
      </c>
      <c r="D1937" s="2">
        <v>700132</v>
      </c>
      <c r="E1937" s="2">
        <v>4185555407.9000001</v>
      </c>
      <c r="F1937" s="2">
        <v>4215314834.5100002</v>
      </c>
      <c r="G1937">
        <v>0</v>
      </c>
    </row>
    <row r="1938" spans="1:7" x14ac:dyDescent="0.25">
      <c r="A1938" s="1">
        <v>45108</v>
      </c>
      <c r="B1938" t="s">
        <v>7</v>
      </c>
      <c r="C1938" t="s">
        <v>81</v>
      </c>
      <c r="D1938">
        <v>0</v>
      </c>
      <c r="E1938" s="2">
        <v>461524897.94999999</v>
      </c>
      <c r="F1938" s="2">
        <v>469279636.41000003</v>
      </c>
      <c r="G1938" s="2">
        <v>33191.360000000001</v>
      </c>
    </row>
    <row r="1939" spans="1:7" x14ac:dyDescent="0.25">
      <c r="A1939" s="1">
        <v>45108</v>
      </c>
      <c r="B1939" t="s">
        <v>15</v>
      </c>
      <c r="C1939" t="s">
        <v>25</v>
      </c>
      <c r="D1939" s="2">
        <v>-165000</v>
      </c>
      <c r="E1939" s="2">
        <v>1476386.21</v>
      </c>
      <c r="F1939" s="2">
        <v>1487138.69</v>
      </c>
      <c r="G1939">
        <v>0</v>
      </c>
    </row>
    <row r="1940" spans="1:7" x14ac:dyDescent="0.25">
      <c r="A1940" s="1">
        <v>45108</v>
      </c>
      <c r="B1940" t="s">
        <v>83</v>
      </c>
      <c r="C1940" t="s">
        <v>42</v>
      </c>
      <c r="D1940" s="2">
        <v>-4697.6499999999996</v>
      </c>
      <c r="E1940" s="2">
        <v>85197.41</v>
      </c>
      <c r="F1940" s="2">
        <v>88038.04</v>
      </c>
      <c r="G1940">
        <v>0</v>
      </c>
    </row>
    <row r="1941" spans="1:7" x14ac:dyDescent="0.25">
      <c r="A1941" s="1">
        <v>45108</v>
      </c>
      <c r="B1941" t="s">
        <v>15</v>
      </c>
      <c r="C1941" t="s">
        <v>12</v>
      </c>
      <c r="D1941" s="2">
        <v>102505.5</v>
      </c>
      <c r="E1941" s="2">
        <v>404697.48</v>
      </c>
      <c r="F1941" s="2">
        <v>377982.06</v>
      </c>
      <c r="G1941">
        <v>0</v>
      </c>
    </row>
    <row r="1942" spans="1:7" x14ac:dyDescent="0.25">
      <c r="A1942" s="1">
        <v>45108</v>
      </c>
      <c r="B1942" t="s">
        <v>69</v>
      </c>
      <c r="C1942" t="s">
        <v>84</v>
      </c>
      <c r="D1942">
        <v>0</v>
      </c>
      <c r="E1942">
        <v>0</v>
      </c>
      <c r="F1942">
        <v>0</v>
      </c>
      <c r="G1942" s="2">
        <v>81948.56</v>
      </c>
    </row>
    <row r="1943" spans="1:7" x14ac:dyDescent="0.25">
      <c r="A1943" s="1">
        <v>45108</v>
      </c>
      <c r="B1943" t="s">
        <v>43</v>
      </c>
      <c r="C1943" t="s">
        <v>25</v>
      </c>
      <c r="D1943" s="2">
        <v>62905.8</v>
      </c>
      <c r="E1943" s="2">
        <v>581198.87</v>
      </c>
      <c r="F1943" s="2">
        <v>542082.97</v>
      </c>
      <c r="G1943">
        <v>0</v>
      </c>
    </row>
    <row r="1944" spans="1:7" x14ac:dyDescent="0.25">
      <c r="A1944" s="1">
        <v>45108</v>
      </c>
      <c r="B1944" t="s">
        <v>52</v>
      </c>
      <c r="C1944" t="s">
        <v>25</v>
      </c>
      <c r="D1944">
        <v>0</v>
      </c>
      <c r="E1944">
        <v>0</v>
      </c>
      <c r="F1944">
        <v>0</v>
      </c>
      <c r="G1944" s="2">
        <v>98632</v>
      </c>
    </row>
    <row r="1945" spans="1:7" x14ac:dyDescent="0.25">
      <c r="A1945" s="1">
        <v>45108</v>
      </c>
      <c r="B1945" t="s">
        <v>36</v>
      </c>
      <c r="C1945" t="s">
        <v>121</v>
      </c>
      <c r="D1945" s="2">
        <v>24737600.850000001</v>
      </c>
      <c r="E1945">
        <v>0</v>
      </c>
      <c r="F1945">
        <v>0</v>
      </c>
      <c r="G1945" s="2">
        <v>1677</v>
      </c>
    </row>
    <row r="1946" spans="1:7" x14ac:dyDescent="0.25">
      <c r="A1946" s="1">
        <v>45108</v>
      </c>
      <c r="B1946" t="s">
        <v>23</v>
      </c>
      <c r="C1946" t="s">
        <v>77</v>
      </c>
      <c r="D1946" s="2">
        <v>-267717.53999999998</v>
      </c>
      <c r="E1946">
        <v>0</v>
      </c>
      <c r="F1946">
        <v>0</v>
      </c>
      <c r="G1946">
        <v>0</v>
      </c>
    </row>
    <row r="1947" spans="1:7" x14ac:dyDescent="0.25">
      <c r="A1947" s="1">
        <v>45108</v>
      </c>
      <c r="B1947" t="s">
        <v>13</v>
      </c>
      <c r="C1947" t="s">
        <v>22</v>
      </c>
      <c r="D1947">
        <v>-0.43</v>
      </c>
      <c r="E1947" s="2">
        <v>15024817.23</v>
      </c>
      <c r="F1947" s="2">
        <v>15020559.25</v>
      </c>
      <c r="G1947">
        <v>0</v>
      </c>
    </row>
    <row r="1948" spans="1:7" x14ac:dyDescent="0.25">
      <c r="A1948" s="1">
        <v>45108</v>
      </c>
      <c r="B1948" t="s">
        <v>13</v>
      </c>
      <c r="C1948" t="s">
        <v>71</v>
      </c>
      <c r="D1948" s="2">
        <v>702683.26</v>
      </c>
      <c r="E1948" s="2">
        <v>1750.12</v>
      </c>
      <c r="F1948" s="2">
        <v>1750.12</v>
      </c>
      <c r="G1948" s="2">
        <v>12216.59</v>
      </c>
    </row>
    <row r="1949" spans="1:7" x14ac:dyDescent="0.25">
      <c r="A1949" s="1">
        <v>45108</v>
      </c>
      <c r="B1949" t="s">
        <v>69</v>
      </c>
      <c r="C1949" t="s">
        <v>34</v>
      </c>
      <c r="D1949" s="2">
        <v>303633.55</v>
      </c>
      <c r="E1949" s="2">
        <v>183574.16</v>
      </c>
      <c r="F1949" s="2">
        <v>236300.99</v>
      </c>
      <c r="G1949" s="2">
        <v>50850</v>
      </c>
    </row>
    <row r="1950" spans="1:7" x14ac:dyDescent="0.25">
      <c r="A1950" s="1">
        <v>45108</v>
      </c>
      <c r="B1950" t="s">
        <v>47</v>
      </c>
      <c r="C1950" t="s">
        <v>24</v>
      </c>
      <c r="D1950" s="2">
        <v>55918.06</v>
      </c>
      <c r="E1950" s="2">
        <v>582682.99</v>
      </c>
      <c r="F1950" s="2">
        <v>580789.65</v>
      </c>
      <c r="G1950">
        <v>0</v>
      </c>
    </row>
    <row r="1951" spans="1:7" x14ac:dyDescent="0.25">
      <c r="A1951" s="1">
        <v>45108</v>
      </c>
      <c r="B1951" t="s">
        <v>54</v>
      </c>
      <c r="C1951" t="s">
        <v>22</v>
      </c>
      <c r="D1951" s="2">
        <v>7017104.1900000004</v>
      </c>
      <c r="E1951" s="2">
        <v>20269321.82</v>
      </c>
      <c r="F1951" s="2">
        <v>20269321.82</v>
      </c>
      <c r="G1951">
        <v>0</v>
      </c>
    </row>
    <row r="1952" spans="1:7" x14ac:dyDescent="0.25">
      <c r="A1952" s="1">
        <v>45108</v>
      </c>
      <c r="B1952" t="s">
        <v>17</v>
      </c>
      <c r="C1952" t="s">
        <v>86</v>
      </c>
      <c r="D1952" s="2">
        <v>98949.66</v>
      </c>
      <c r="E1952" s="2">
        <v>2045088.22</v>
      </c>
      <c r="F1952" s="2">
        <v>1637684.57</v>
      </c>
      <c r="G1952" s="2">
        <v>7316.95</v>
      </c>
    </row>
    <row r="1953" spans="1:7" x14ac:dyDescent="0.25">
      <c r="A1953" s="1">
        <v>45108</v>
      </c>
      <c r="B1953" t="s">
        <v>17</v>
      </c>
      <c r="C1953" t="s">
        <v>78</v>
      </c>
      <c r="D1953">
        <v>0</v>
      </c>
      <c r="E1953">
        <v>0</v>
      </c>
      <c r="F1953">
        <v>0</v>
      </c>
      <c r="G1953" s="2">
        <v>7936127.8099999996</v>
      </c>
    </row>
    <row r="1954" spans="1:7" x14ac:dyDescent="0.25">
      <c r="A1954" s="1">
        <v>45108</v>
      </c>
      <c r="B1954" t="s">
        <v>69</v>
      </c>
      <c r="C1954" t="s">
        <v>12</v>
      </c>
      <c r="D1954" s="2">
        <v>64180</v>
      </c>
      <c r="E1954" s="2">
        <v>123487.93</v>
      </c>
      <c r="F1954" s="2">
        <v>112746.72</v>
      </c>
      <c r="G1954">
        <v>0</v>
      </c>
    </row>
    <row r="1955" spans="1:7" x14ac:dyDescent="0.25">
      <c r="A1955" s="1">
        <v>45108</v>
      </c>
      <c r="B1955" t="s">
        <v>15</v>
      </c>
      <c r="C1955" t="s">
        <v>79</v>
      </c>
      <c r="D1955" s="2">
        <v>121671.75</v>
      </c>
      <c r="E1955" s="2">
        <v>104441.44</v>
      </c>
      <c r="F1955" s="2">
        <v>108326</v>
      </c>
      <c r="G1955">
        <v>0</v>
      </c>
    </row>
    <row r="1956" spans="1:7" x14ac:dyDescent="0.25">
      <c r="A1956" s="1">
        <v>45108</v>
      </c>
      <c r="B1956" t="s">
        <v>43</v>
      </c>
      <c r="C1956" t="s">
        <v>22</v>
      </c>
      <c r="D1956" s="2">
        <v>13510063.35</v>
      </c>
      <c r="E1956" s="2">
        <v>8770036.8300000001</v>
      </c>
      <c r="F1956" s="2">
        <v>8771699.0399999991</v>
      </c>
      <c r="G1956">
        <v>0</v>
      </c>
    </row>
    <row r="1957" spans="1:7" x14ac:dyDescent="0.25">
      <c r="A1957" s="1">
        <v>45108</v>
      </c>
      <c r="B1957" t="s">
        <v>28</v>
      </c>
      <c r="C1957" t="s">
        <v>90</v>
      </c>
      <c r="D1957" s="2">
        <v>144500</v>
      </c>
      <c r="E1957" s="2">
        <v>368938.97</v>
      </c>
      <c r="F1957" s="2">
        <v>377704.55</v>
      </c>
      <c r="G1957">
        <v>0</v>
      </c>
    </row>
    <row r="1958" spans="1:7" x14ac:dyDescent="0.25">
      <c r="A1958" s="1">
        <v>45108</v>
      </c>
      <c r="B1958" t="s">
        <v>21</v>
      </c>
      <c r="C1958" t="s">
        <v>39</v>
      </c>
      <c r="D1958">
        <v>0</v>
      </c>
      <c r="E1958">
        <v>0</v>
      </c>
      <c r="F1958">
        <v>0</v>
      </c>
      <c r="G1958">
        <v>452.19</v>
      </c>
    </row>
    <row r="1959" spans="1:7" x14ac:dyDescent="0.25">
      <c r="A1959" s="1">
        <v>45108</v>
      </c>
      <c r="B1959" t="s">
        <v>28</v>
      </c>
      <c r="C1959" t="s">
        <v>25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 s="1">
        <v>45108</v>
      </c>
      <c r="B1960" t="s">
        <v>91</v>
      </c>
      <c r="C1960" t="s">
        <v>14</v>
      </c>
      <c r="D1960" s="2">
        <v>15736038.74</v>
      </c>
      <c r="E1960" s="2">
        <v>18487093.710000001</v>
      </c>
      <c r="F1960" s="2">
        <v>19963910.030000001</v>
      </c>
      <c r="G1960" s="2">
        <v>1683018.87</v>
      </c>
    </row>
    <row r="1961" spans="1:7" x14ac:dyDescent="0.25">
      <c r="A1961" s="1">
        <v>45108</v>
      </c>
      <c r="B1961" t="s">
        <v>65</v>
      </c>
      <c r="C1961" t="s">
        <v>89</v>
      </c>
      <c r="D1961" s="2">
        <v>1571748</v>
      </c>
      <c r="E1961" s="2">
        <v>32706.47</v>
      </c>
      <c r="F1961" s="2">
        <v>32706.47</v>
      </c>
      <c r="G1961" s="2">
        <v>545831.05000000005</v>
      </c>
    </row>
    <row r="1962" spans="1:7" x14ac:dyDescent="0.25">
      <c r="A1962" s="1">
        <v>45108</v>
      </c>
      <c r="B1962" t="s">
        <v>23</v>
      </c>
      <c r="C1962" t="s">
        <v>79</v>
      </c>
      <c r="D1962" s="2">
        <v>95002.4</v>
      </c>
      <c r="E1962" s="2">
        <v>1755565.11</v>
      </c>
      <c r="F1962" s="2">
        <v>10522023.710000001</v>
      </c>
      <c r="G1962" s="2">
        <v>2460332.75</v>
      </c>
    </row>
    <row r="1963" spans="1:7" x14ac:dyDescent="0.25">
      <c r="A1963" s="1">
        <v>45108</v>
      </c>
      <c r="B1963" t="s">
        <v>21</v>
      </c>
      <c r="C1963" t="s">
        <v>57</v>
      </c>
      <c r="D1963" s="2">
        <v>-2777603.18</v>
      </c>
      <c r="E1963" s="2">
        <v>-2410381.2400000002</v>
      </c>
      <c r="F1963" s="2">
        <v>-2410381.2400000002</v>
      </c>
      <c r="G1963" s="2">
        <v>1720381.85</v>
      </c>
    </row>
    <row r="1964" spans="1:7" x14ac:dyDescent="0.25">
      <c r="A1964" s="1">
        <v>45108</v>
      </c>
      <c r="B1964" t="s">
        <v>54</v>
      </c>
      <c r="C1964" t="s">
        <v>16</v>
      </c>
      <c r="D1964" s="2">
        <v>148084.73000000001</v>
      </c>
      <c r="E1964" s="2">
        <v>348814.96</v>
      </c>
      <c r="F1964" s="2">
        <v>276644.53999999998</v>
      </c>
      <c r="G1964" s="2">
        <v>19659.63</v>
      </c>
    </row>
    <row r="1965" spans="1:7" x14ac:dyDescent="0.25">
      <c r="A1965" s="1">
        <v>45108</v>
      </c>
      <c r="B1965" t="s">
        <v>33</v>
      </c>
      <c r="C1965" t="s">
        <v>50</v>
      </c>
      <c r="D1965" s="2">
        <v>69493.86</v>
      </c>
      <c r="E1965" s="2">
        <v>69493.86</v>
      </c>
      <c r="F1965" s="2">
        <v>69493.86</v>
      </c>
      <c r="G1965">
        <v>0</v>
      </c>
    </row>
    <row r="1966" spans="1:7" x14ac:dyDescent="0.25">
      <c r="A1966" s="1">
        <v>45108</v>
      </c>
      <c r="B1966" t="s">
        <v>54</v>
      </c>
      <c r="C1966" t="s">
        <v>119</v>
      </c>
      <c r="D1966" s="2">
        <v>423337.12</v>
      </c>
      <c r="E1966" s="2">
        <v>468929.47</v>
      </c>
      <c r="F1966" s="2">
        <v>351538.55</v>
      </c>
      <c r="G1966" s="2">
        <v>140903.53</v>
      </c>
    </row>
    <row r="1967" spans="1:7" x14ac:dyDescent="0.25">
      <c r="A1967" s="1">
        <v>45108</v>
      </c>
      <c r="B1967" t="s">
        <v>15</v>
      </c>
      <c r="C1967" t="s">
        <v>88</v>
      </c>
      <c r="D1967" s="2">
        <v>-24224.560000000001</v>
      </c>
      <c r="E1967" s="2">
        <v>1596840.97</v>
      </c>
      <c r="F1967" s="2">
        <v>1605854.83</v>
      </c>
      <c r="G1967">
        <v>0</v>
      </c>
    </row>
    <row r="1968" spans="1:7" x14ac:dyDescent="0.25">
      <c r="A1968" s="1">
        <v>45108</v>
      </c>
      <c r="B1968" t="s">
        <v>52</v>
      </c>
      <c r="C1968" t="s">
        <v>78</v>
      </c>
      <c r="D1968">
        <v>0</v>
      </c>
      <c r="E1968">
        <v>0</v>
      </c>
      <c r="F1968">
        <v>0</v>
      </c>
      <c r="G1968" s="2">
        <v>44438.09</v>
      </c>
    </row>
    <row r="1969" spans="1:7" x14ac:dyDescent="0.25">
      <c r="A1969" s="1">
        <v>45108</v>
      </c>
      <c r="B1969" t="s">
        <v>31</v>
      </c>
      <c r="C1969" t="s">
        <v>92</v>
      </c>
      <c r="D1969" s="2">
        <v>30429882084.759998</v>
      </c>
      <c r="E1969" s="2">
        <v>48452834203.620003</v>
      </c>
      <c r="F1969" s="2">
        <v>48454325753.889999</v>
      </c>
      <c r="G1969">
        <v>0</v>
      </c>
    </row>
    <row r="1970" spans="1:7" x14ac:dyDescent="0.25">
      <c r="A1970" s="1">
        <v>45108</v>
      </c>
      <c r="B1970" t="s">
        <v>91</v>
      </c>
      <c r="C1970" t="s">
        <v>51</v>
      </c>
      <c r="D1970">
        <v>90.22</v>
      </c>
      <c r="E1970" s="2">
        <v>42016.62</v>
      </c>
      <c r="F1970" s="2">
        <v>42016.62</v>
      </c>
      <c r="G1970">
        <v>0</v>
      </c>
    </row>
    <row r="1971" spans="1:7" x14ac:dyDescent="0.25">
      <c r="A1971" s="1">
        <v>45108</v>
      </c>
      <c r="B1971" t="s">
        <v>28</v>
      </c>
      <c r="C1971" t="s">
        <v>14</v>
      </c>
      <c r="D1971" s="2">
        <v>41900851.920000002</v>
      </c>
      <c r="E1971" s="2">
        <v>33419585.109999999</v>
      </c>
      <c r="F1971" s="2">
        <v>35950511.710000001</v>
      </c>
      <c r="G1971" s="2">
        <v>7356936.3099999996</v>
      </c>
    </row>
    <row r="1972" spans="1:7" x14ac:dyDescent="0.25">
      <c r="A1972" s="1">
        <v>45108</v>
      </c>
      <c r="B1972" t="s">
        <v>54</v>
      </c>
      <c r="C1972" t="s">
        <v>108</v>
      </c>
      <c r="D1972" s="2">
        <v>408320.33</v>
      </c>
      <c r="E1972" s="2">
        <v>341595.89</v>
      </c>
      <c r="F1972" s="2">
        <v>471955.81</v>
      </c>
      <c r="G1972" s="2">
        <v>34793.339999999997</v>
      </c>
    </row>
    <row r="1973" spans="1:7" x14ac:dyDescent="0.25">
      <c r="A1973" s="1">
        <v>45108</v>
      </c>
      <c r="B1973" t="s">
        <v>41</v>
      </c>
      <c r="C1973" t="s">
        <v>42</v>
      </c>
      <c r="D1973">
        <v>0</v>
      </c>
      <c r="E1973" s="2">
        <v>149520.04</v>
      </c>
      <c r="F1973">
        <v>0</v>
      </c>
      <c r="G1973" s="2">
        <v>3100</v>
      </c>
    </row>
    <row r="1974" spans="1:7" x14ac:dyDescent="0.25">
      <c r="A1974" s="1">
        <v>45108</v>
      </c>
      <c r="B1974" t="s">
        <v>62</v>
      </c>
      <c r="C1974" t="s">
        <v>12</v>
      </c>
      <c r="D1974" s="2">
        <v>114791.49</v>
      </c>
      <c r="E1974" s="2">
        <v>80860.87</v>
      </c>
      <c r="F1974" s="2">
        <v>70300.38</v>
      </c>
      <c r="G1974" s="2">
        <v>41625.839999999997</v>
      </c>
    </row>
    <row r="1975" spans="1:7" x14ac:dyDescent="0.25">
      <c r="A1975" s="1">
        <v>45108</v>
      </c>
      <c r="B1975" t="s">
        <v>33</v>
      </c>
      <c r="C1975" t="s">
        <v>64</v>
      </c>
      <c r="D1975" s="2">
        <v>3548194.96</v>
      </c>
      <c r="E1975" s="2">
        <v>1822800.67</v>
      </c>
      <c r="F1975" s="2">
        <v>2087888.68</v>
      </c>
      <c r="G1975" s="2">
        <v>71835.33</v>
      </c>
    </row>
    <row r="1976" spans="1:7" x14ac:dyDescent="0.25">
      <c r="A1976" s="1">
        <v>45108</v>
      </c>
      <c r="B1976" t="s">
        <v>45</v>
      </c>
      <c r="C1976" t="s">
        <v>46</v>
      </c>
      <c r="D1976">
        <v>0</v>
      </c>
      <c r="E1976">
        <v>0</v>
      </c>
      <c r="F1976">
        <v>0</v>
      </c>
      <c r="G1976" s="2">
        <v>745148.83</v>
      </c>
    </row>
    <row r="1977" spans="1:7" x14ac:dyDescent="0.25">
      <c r="A1977" s="1">
        <v>45108</v>
      </c>
      <c r="B1977" t="s">
        <v>52</v>
      </c>
      <c r="C1977" t="s">
        <v>22</v>
      </c>
      <c r="D1977">
        <v>0</v>
      </c>
      <c r="E1977" s="2">
        <v>665111.18000000005</v>
      </c>
      <c r="F1977" s="2">
        <v>563696.66</v>
      </c>
      <c r="G1977">
        <v>0</v>
      </c>
    </row>
    <row r="1978" spans="1:7" x14ac:dyDescent="0.25">
      <c r="A1978" s="1">
        <v>45108</v>
      </c>
      <c r="B1978" t="s">
        <v>47</v>
      </c>
      <c r="C1978" t="s">
        <v>72</v>
      </c>
      <c r="D1978" s="2">
        <v>477889.22</v>
      </c>
      <c r="E1978" s="2">
        <v>2582577.5</v>
      </c>
      <c r="F1978" s="2">
        <v>2883189.47</v>
      </c>
      <c r="G1978">
        <v>0</v>
      </c>
    </row>
    <row r="1979" spans="1:7" x14ac:dyDescent="0.25">
      <c r="A1979" s="1">
        <v>45108</v>
      </c>
      <c r="B1979" t="s">
        <v>13</v>
      </c>
      <c r="C1979" t="s">
        <v>55</v>
      </c>
      <c r="D1979" s="2">
        <v>2735885.02</v>
      </c>
      <c r="E1979" s="2">
        <v>1678653.27</v>
      </c>
      <c r="F1979" s="2">
        <v>1676668.47</v>
      </c>
      <c r="G1979" s="2">
        <v>1757364.42</v>
      </c>
    </row>
    <row r="1980" spans="1:7" x14ac:dyDescent="0.25">
      <c r="A1980" s="1">
        <v>45108</v>
      </c>
      <c r="B1980" t="s">
        <v>37</v>
      </c>
      <c r="C1980" t="s">
        <v>22</v>
      </c>
      <c r="D1980" s="2">
        <v>6400000</v>
      </c>
      <c r="E1980" s="2">
        <v>6800110.21</v>
      </c>
      <c r="F1980" s="2">
        <v>7670817.0999999996</v>
      </c>
      <c r="G1980">
        <v>0</v>
      </c>
    </row>
    <row r="1981" spans="1:7" x14ac:dyDescent="0.25">
      <c r="A1981" s="1">
        <v>45108</v>
      </c>
      <c r="B1981" t="s">
        <v>13</v>
      </c>
      <c r="C1981" t="s">
        <v>78</v>
      </c>
      <c r="D1981">
        <v>0</v>
      </c>
      <c r="E1981">
        <v>0</v>
      </c>
      <c r="F1981">
        <v>0</v>
      </c>
      <c r="G1981" s="2">
        <v>48921.279999999999</v>
      </c>
    </row>
    <row r="1982" spans="1:7" x14ac:dyDescent="0.25">
      <c r="A1982" s="1">
        <v>45108</v>
      </c>
      <c r="B1982" t="s">
        <v>33</v>
      </c>
      <c r="C1982" t="s">
        <v>94</v>
      </c>
      <c r="D1982" s="2">
        <v>194891.93</v>
      </c>
      <c r="E1982" s="2">
        <v>1021403.52</v>
      </c>
      <c r="F1982" s="2">
        <v>1018708.96</v>
      </c>
      <c r="G1982" s="2">
        <v>12118.97</v>
      </c>
    </row>
    <row r="1983" spans="1:7" x14ac:dyDescent="0.25">
      <c r="A1983" s="1">
        <v>45108</v>
      </c>
      <c r="B1983" t="s">
        <v>43</v>
      </c>
      <c r="C1983" t="s">
        <v>44</v>
      </c>
      <c r="D1983" s="2">
        <v>2881016.21</v>
      </c>
      <c r="E1983" s="2">
        <v>7998.38</v>
      </c>
      <c r="F1983" s="2">
        <v>29922.17</v>
      </c>
      <c r="G1983" s="2">
        <v>156081.25</v>
      </c>
    </row>
    <row r="1984" spans="1:7" x14ac:dyDescent="0.25">
      <c r="A1984" s="1">
        <v>45108</v>
      </c>
      <c r="B1984" t="s">
        <v>23</v>
      </c>
      <c r="C1984" t="s">
        <v>96</v>
      </c>
      <c r="D1984" s="2">
        <v>1996491.11</v>
      </c>
      <c r="E1984" s="2">
        <v>5434228.3300000001</v>
      </c>
      <c r="F1984" s="2">
        <v>6157636.1100000003</v>
      </c>
      <c r="G1984" s="2">
        <v>530389.82999999996</v>
      </c>
    </row>
    <row r="1985" spans="1:7" x14ac:dyDescent="0.25">
      <c r="A1985" s="1">
        <v>45108</v>
      </c>
      <c r="B1985" t="s">
        <v>9</v>
      </c>
      <c r="C1985" t="s">
        <v>24</v>
      </c>
      <c r="D1985">
        <v>0</v>
      </c>
      <c r="E1985" s="2">
        <v>635249.48</v>
      </c>
      <c r="F1985" s="2">
        <v>635249.48</v>
      </c>
      <c r="G1985" s="2">
        <v>47214.26</v>
      </c>
    </row>
    <row r="1986" spans="1:7" x14ac:dyDescent="0.25">
      <c r="A1986" s="1">
        <v>45108</v>
      </c>
      <c r="B1986" t="s">
        <v>36</v>
      </c>
      <c r="C1986" t="s">
        <v>75</v>
      </c>
      <c r="D1986" s="2">
        <v>54600</v>
      </c>
      <c r="E1986" s="2">
        <v>252983.34</v>
      </c>
      <c r="F1986" s="2">
        <v>270080.65999999997</v>
      </c>
      <c r="G1986">
        <v>0</v>
      </c>
    </row>
    <row r="1987" spans="1:7" x14ac:dyDescent="0.25">
      <c r="A1987" s="1">
        <v>45108</v>
      </c>
      <c r="B1987" t="s">
        <v>65</v>
      </c>
      <c r="C1987" t="s">
        <v>22</v>
      </c>
      <c r="D1987">
        <v>0</v>
      </c>
      <c r="E1987" s="2">
        <v>60239800.719999999</v>
      </c>
      <c r="F1987" s="2">
        <v>60238314.049999997</v>
      </c>
      <c r="G1987">
        <v>0</v>
      </c>
    </row>
    <row r="1988" spans="1:7" x14ac:dyDescent="0.25">
      <c r="A1988" s="1">
        <v>45108</v>
      </c>
      <c r="B1988" t="s">
        <v>31</v>
      </c>
      <c r="C1988" t="s">
        <v>97</v>
      </c>
      <c r="D1988">
        <v>0</v>
      </c>
      <c r="E1988" s="2">
        <v>5870955913.7299995</v>
      </c>
      <c r="F1988" s="2">
        <v>5870955913.7299995</v>
      </c>
      <c r="G1988">
        <v>0</v>
      </c>
    </row>
    <row r="1989" spans="1:7" x14ac:dyDescent="0.25">
      <c r="A1989" s="1">
        <v>45108</v>
      </c>
      <c r="B1989" t="s">
        <v>23</v>
      </c>
      <c r="C1989" t="s">
        <v>90</v>
      </c>
      <c r="D1989" s="2">
        <v>5439700</v>
      </c>
      <c r="E1989" s="2">
        <v>3531295.49</v>
      </c>
      <c r="F1989" s="2">
        <v>30936.39</v>
      </c>
      <c r="G1989">
        <v>0</v>
      </c>
    </row>
    <row r="1990" spans="1:7" x14ac:dyDescent="0.25">
      <c r="A1990" s="1">
        <v>45108</v>
      </c>
      <c r="B1990" t="s">
        <v>7</v>
      </c>
      <c r="C1990" t="s">
        <v>55</v>
      </c>
      <c r="D1990" s="2">
        <v>106737788.54000001</v>
      </c>
      <c r="E1990" s="2">
        <v>106686828.70999999</v>
      </c>
      <c r="F1990" s="2">
        <v>106673420.68000001</v>
      </c>
      <c r="G1990" s="2">
        <v>558396.32999999996</v>
      </c>
    </row>
    <row r="1991" spans="1:7" x14ac:dyDescent="0.25">
      <c r="A1991" s="1">
        <v>45108</v>
      </c>
      <c r="B1991" t="s">
        <v>43</v>
      </c>
      <c r="C1991" t="s">
        <v>14</v>
      </c>
      <c r="D1991" s="2">
        <v>3952689.82</v>
      </c>
      <c r="E1991" s="2">
        <v>1048183.51</v>
      </c>
      <c r="F1991" s="2">
        <v>1604583.22</v>
      </c>
      <c r="G1991" s="2">
        <v>94533.89</v>
      </c>
    </row>
    <row r="1992" spans="1:7" x14ac:dyDescent="0.25">
      <c r="A1992" s="1">
        <v>45108</v>
      </c>
      <c r="B1992" t="s">
        <v>7</v>
      </c>
      <c r="C1992" t="s">
        <v>97</v>
      </c>
      <c r="D1992" s="2">
        <v>96751670</v>
      </c>
      <c r="E1992" s="2">
        <v>2917833493.4200001</v>
      </c>
      <c r="F1992" s="2">
        <v>2917833493.4200001</v>
      </c>
      <c r="G1992" s="2">
        <v>61151773.520000003</v>
      </c>
    </row>
    <row r="1993" spans="1:7" x14ac:dyDescent="0.25">
      <c r="A1993" s="1">
        <v>45108</v>
      </c>
      <c r="B1993" t="s">
        <v>91</v>
      </c>
      <c r="C1993" t="s">
        <v>98</v>
      </c>
      <c r="D1993" s="2">
        <v>13106393.18</v>
      </c>
      <c r="E1993" s="2">
        <v>1618699.66</v>
      </c>
      <c r="F1993" s="2">
        <v>714915</v>
      </c>
      <c r="G1993" s="2">
        <v>1642330.24</v>
      </c>
    </row>
    <row r="1994" spans="1:7" x14ac:dyDescent="0.25">
      <c r="A1994" s="1">
        <v>45108</v>
      </c>
      <c r="B1994" t="s">
        <v>43</v>
      </c>
      <c r="C1994" t="s">
        <v>75</v>
      </c>
      <c r="D1994" s="2">
        <v>185173316.91999999</v>
      </c>
      <c r="E1994" s="2">
        <v>33453134.100000001</v>
      </c>
      <c r="F1994" s="2">
        <v>33493294.59</v>
      </c>
      <c r="G1994">
        <v>0</v>
      </c>
    </row>
    <row r="1995" spans="1:7" x14ac:dyDescent="0.25">
      <c r="A1995" s="1">
        <v>45108</v>
      </c>
      <c r="B1995" t="s">
        <v>52</v>
      </c>
      <c r="C1995" t="s">
        <v>57</v>
      </c>
      <c r="D1995" s="2">
        <v>46989123.530000001</v>
      </c>
      <c r="E1995" s="2">
        <v>54952863.840000004</v>
      </c>
      <c r="F1995" s="2">
        <v>66450281.740000002</v>
      </c>
      <c r="G1995" s="2">
        <v>70500.88</v>
      </c>
    </row>
    <row r="1996" spans="1:7" x14ac:dyDescent="0.25">
      <c r="A1996" s="1">
        <v>45108</v>
      </c>
      <c r="B1996" t="s">
        <v>11</v>
      </c>
      <c r="C1996" t="s">
        <v>71</v>
      </c>
      <c r="D1996" s="2">
        <v>2350881.62</v>
      </c>
      <c r="E1996" s="2">
        <v>1274063.7</v>
      </c>
      <c r="F1996" s="2">
        <v>1274063.7</v>
      </c>
      <c r="G1996">
        <v>-288.73</v>
      </c>
    </row>
    <row r="1997" spans="1:7" x14ac:dyDescent="0.25">
      <c r="A1997" s="1">
        <v>45108</v>
      </c>
      <c r="B1997" t="s">
        <v>23</v>
      </c>
      <c r="C1997" t="s">
        <v>59</v>
      </c>
      <c r="D1997" s="2">
        <v>-34088.33</v>
      </c>
      <c r="E1997">
        <v>0</v>
      </c>
      <c r="F1997">
        <v>0</v>
      </c>
      <c r="G1997" s="2">
        <v>8989.7999999999993</v>
      </c>
    </row>
    <row r="1998" spans="1:7" x14ac:dyDescent="0.25">
      <c r="A1998" s="1">
        <v>45108</v>
      </c>
      <c r="B1998" t="s">
        <v>17</v>
      </c>
      <c r="C1998" t="s">
        <v>22</v>
      </c>
      <c r="D1998" s="2">
        <v>-99999</v>
      </c>
      <c r="E1998" s="2">
        <v>15696192.98</v>
      </c>
      <c r="F1998" s="2">
        <v>15606188.779999999</v>
      </c>
      <c r="G1998" s="2">
        <v>27688.3</v>
      </c>
    </row>
    <row r="1999" spans="1:7" x14ac:dyDescent="0.25">
      <c r="A1999" s="1">
        <v>45108</v>
      </c>
      <c r="B1999" t="s">
        <v>26</v>
      </c>
      <c r="C1999" t="s">
        <v>68</v>
      </c>
      <c r="D1999" s="2">
        <v>166528.32999999999</v>
      </c>
      <c r="E1999" s="2">
        <v>267341.75</v>
      </c>
      <c r="F1999" s="2">
        <v>350446.02</v>
      </c>
      <c r="G1999" s="2">
        <v>430167.44</v>
      </c>
    </row>
    <row r="2000" spans="1:7" x14ac:dyDescent="0.25">
      <c r="A2000" s="1">
        <v>45108</v>
      </c>
      <c r="B2000" t="s">
        <v>13</v>
      </c>
      <c r="C2000" t="s">
        <v>67</v>
      </c>
      <c r="D2000" s="2">
        <v>3887800.29</v>
      </c>
      <c r="E2000" s="2">
        <v>19172100.719999999</v>
      </c>
      <c r="F2000" s="2">
        <v>15035999.02</v>
      </c>
      <c r="G2000" s="2">
        <v>1531567.93</v>
      </c>
    </row>
    <row r="2001" spans="1:7" x14ac:dyDescent="0.25">
      <c r="A2001" s="1">
        <v>45108</v>
      </c>
      <c r="B2001" t="s">
        <v>17</v>
      </c>
      <c r="C2001" t="s">
        <v>55</v>
      </c>
      <c r="D2001" s="2">
        <v>762091.61</v>
      </c>
      <c r="E2001" s="2">
        <v>1026209.85</v>
      </c>
      <c r="F2001" s="2">
        <v>1062209.33</v>
      </c>
      <c r="G2001" s="2">
        <v>85152.55</v>
      </c>
    </row>
    <row r="2002" spans="1:7" x14ac:dyDescent="0.25">
      <c r="A2002" s="1">
        <v>45108</v>
      </c>
      <c r="B2002" t="s">
        <v>17</v>
      </c>
      <c r="C2002" t="s">
        <v>66</v>
      </c>
      <c r="D2002">
        <v>0</v>
      </c>
      <c r="E2002">
        <v>0</v>
      </c>
      <c r="F2002">
        <v>0</v>
      </c>
      <c r="G2002" s="2">
        <v>212445.51</v>
      </c>
    </row>
    <row r="2003" spans="1:7" x14ac:dyDescent="0.25">
      <c r="A2003" s="1">
        <v>45108</v>
      </c>
      <c r="B2003" t="s">
        <v>7</v>
      </c>
      <c r="C2003" t="s">
        <v>94</v>
      </c>
      <c r="D2003">
        <v>0</v>
      </c>
      <c r="E2003" s="2">
        <v>2091294.72</v>
      </c>
      <c r="F2003" s="2">
        <v>2091294.72</v>
      </c>
      <c r="G2003">
        <v>0</v>
      </c>
    </row>
    <row r="2004" spans="1:7" x14ac:dyDescent="0.25">
      <c r="A2004" s="1">
        <v>45108</v>
      </c>
      <c r="B2004" t="s">
        <v>23</v>
      </c>
      <c r="C2004" t="s">
        <v>55</v>
      </c>
      <c r="D2004" s="2">
        <v>2039744.25</v>
      </c>
      <c r="E2004" s="2">
        <v>6401245.3300000001</v>
      </c>
      <c r="F2004" s="2">
        <v>5945555.9400000004</v>
      </c>
      <c r="G2004" s="2">
        <v>1276096.67</v>
      </c>
    </row>
    <row r="2005" spans="1:7" x14ac:dyDescent="0.25">
      <c r="A2005" s="1">
        <v>45108</v>
      </c>
      <c r="B2005" t="s">
        <v>62</v>
      </c>
      <c r="C2005" t="s">
        <v>22</v>
      </c>
      <c r="D2005" s="2">
        <v>2850000</v>
      </c>
      <c r="E2005" s="2">
        <v>5023069.51</v>
      </c>
      <c r="F2005" s="2">
        <v>5017782.88</v>
      </c>
      <c r="G2005">
        <v>0</v>
      </c>
    </row>
    <row r="2006" spans="1:7" x14ac:dyDescent="0.25">
      <c r="A2006" s="1">
        <v>45108</v>
      </c>
      <c r="B2006" t="s">
        <v>37</v>
      </c>
      <c r="C2006" t="s">
        <v>106</v>
      </c>
      <c r="D2006">
        <v>0</v>
      </c>
      <c r="E2006">
        <v>0</v>
      </c>
      <c r="F2006">
        <v>0</v>
      </c>
      <c r="G2006" s="2">
        <v>751500</v>
      </c>
    </row>
    <row r="2007" spans="1:7" x14ac:dyDescent="0.25">
      <c r="A2007" s="1">
        <v>45108</v>
      </c>
      <c r="B2007" t="s">
        <v>36</v>
      </c>
      <c r="C2007" t="s">
        <v>70</v>
      </c>
      <c r="D2007" s="2">
        <v>800000</v>
      </c>
      <c r="E2007" s="2">
        <v>3378232323.1399999</v>
      </c>
      <c r="F2007" s="2">
        <v>3373976463.1300001</v>
      </c>
      <c r="G2007">
        <v>0</v>
      </c>
    </row>
    <row r="2008" spans="1:7" x14ac:dyDescent="0.25">
      <c r="A2008" s="1">
        <v>45108</v>
      </c>
      <c r="B2008" t="s">
        <v>23</v>
      </c>
      <c r="C2008" t="s">
        <v>14</v>
      </c>
      <c r="D2008" s="2">
        <v>37209868.119999997</v>
      </c>
      <c r="E2008" s="2">
        <v>19654415.109999999</v>
      </c>
      <c r="F2008" s="2">
        <v>17458325.16</v>
      </c>
      <c r="G2008" s="2">
        <v>2896249.77</v>
      </c>
    </row>
    <row r="2009" spans="1:7" x14ac:dyDescent="0.25">
      <c r="A2009" s="1">
        <v>45108</v>
      </c>
      <c r="B2009" t="s">
        <v>45</v>
      </c>
      <c r="C2009" t="s">
        <v>10</v>
      </c>
      <c r="D2009">
        <v>0</v>
      </c>
      <c r="E2009">
        <v>0</v>
      </c>
      <c r="F2009">
        <v>0</v>
      </c>
      <c r="G2009" s="2">
        <v>481104</v>
      </c>
    </row>
    <row r="2010" spans="1:7" x14ac:dyDescent="0.25">
      <c r="A2010" s="1">
        <v>45108</v>
      </c>
      <c r="B2010" t="s">
        <v>23</v>
      </c>
      <c r="C2010" t="s">
        <v>75</v>
      </c>
      <c r="D2010" s="2">
        <v>2527993.31</v>
      </c>
      <c r="E2010" s="2">
        <v>1389400.1</v>
      </c>
      <c r="F2010" s="2">
        <v>1125561.44</v>
      </c>
      <c r="G2010" s="2">
        <v>11868.47</v>
      </c>
    </row>
    <row r="2011" spans="1:7" x14ac:dyDescent="0.25">
      <c r="A2011" s="1">
        <v>45108</v>
      </c>
      <c r="B2011" t="s">
        <v>41</v>
      </c>
      <c r="C2011" t="s">
        <v>85</v>
      </c>
      <c r="D2011" s="2">
        <v>245195.09</v>
      </c>
      <c r="E2011" s="2">
        <v>213602.14</v>
      </c>
      <c r="F2011" s="2">
        <v>125776.51</v>
      </c>
      <c r="G2011" s="2">
        <v>15272.97</v>
      </c>
    </row>
    <row r="2012" spans="1:7" x14ac:dyDescent="0.25">
      <c r="A2012" s="1">
        <v>45108</v>
      </c>
      <c r="B2012" t="s">
        <v>33</v>
      </c>
      <c r="C2012" t="s">
        <v>100</v>
      </c>
      <c r="D2012" s="2">
        <v>3693.34</v>
      </c>
      <c r="E2012" s="2">
        <v>51093.9</v>
      </c>
      <c r="F2012" s="2">
        <v>49505.65</v>
      </c>
      <c r="G2012">
        <v>0</v>
      </c>
    </row>
    <row r="2013" spans="1:7" x14ac:dyDescent="0.25">
      <c r="A2013" s="1">
        <v>45108</v>
      </c>
      <c r="B2013" t="s">
        <v>54</v>
      </c>
      <c r="C2013" t="s">
        <v>100</v>
      </c>
      <c r="D2013" s="2">
        <v>384773.96</v>
      </c>
      <c r="E2013" s="2">
        <v>1097601.21</v>
      </c>
      <c r="F2013" s="2">
        <v>811727.57</v>
      </c>
      <c r="G2013" s="2">
        <v>693535.7</v>
      </c>
    </row>
    <row r="2014" spans="1:7" x14ac:dyDescent="0.25">
      <c r="A2014" s="1">
        <v>45108</v>
      </c>
      <c r="B2014" t="s">
        <v>54</v>
      </c>
      <c r="C2014" t="s">
        <v>98</v>
      </c>
      <c r="D2014" s="2">
        <v>1305954.31</v>
      </c>
      <c r="E2014" s="2">
        <v>470288.79</v>
      </c>
      <c r="F2014" s="2">
        <v>470046.79</v>
      </c>
      <c r="G2014" s="2">
        <v>230953.13</v>
      </c>
    </row>
    <row r="2015" spans="1:7" x14ac:dyDescent="0.25">
      <c r="A2015" s="1">
        <v>45108</v>
      </c>
      <c r="B2015" t="s">
        <v>23</v>
      </c>
      <c r="C2015" t="s">
        <v>72</v>
      </c>
      <c r="D2015" s="2">
        <v>11655358.07</v>
      </c>
      <c r="E2015" s="2">
        <v>62349322.25</v>
      </c>
      <c r="F2015" s="2">
        <v>63064495.880000003</v>
      </c>
      <c r="G2015">
        <v>0</v>
      </c>
    </row>
    <row r="2016" spans="1:7" x14ac:dyDescent="0.25">
      <c r="A2016" s="1">
        <v>45108</v>
      </c>
      <c r="B2016" t="s">
        <v>27</v>
      </c>
      <c r="C2016" t="s">
        <v>72</v>
      </c>
      <c r="D2016">
        <v>0</v>
      </c>
      <c r="E2016" s="2">
        <v>8804944.5</v>
      </c>
      <c r="F2016" s="2">
        <v>8843908.4499999993</v>
      </c>
      <c r="G2016">
        <v>0</v>
      </c>
    </row>
    <row r="2017" spans="1:7" x14ac:dyDescent="0.25">
      <c r="A2017" s="1">
        <v>45108</v>
      </c>
      <c r="B2017" t="s">
        <v>28</v>
      </c>
      <c r="C2017" t="s">
        <v>75</v>
      </c>
      <c r="D2017" s="2">
        <v>300727.25</v>
      </c>
      <c r="E2017" s="2">
        <v>170383.62</v>
      </c>
      <c r="F2017" s="2">
        <v>221282.07</v>
      </c>
      <c r="G2017">
        <v>0</v>
      </c>
    </row>
    <row r="2018" spans="1:7" x14ac:dyDescent="0.25">
      <c r="A2018" s="1">
        <v>45108</v>
      </c>
      <c r="B2018" t="s">
        <v>41</v>
      </c>
      <c r="C2018" t="s">
        <v>57</v>
      </c>
      <c r="D2018" s="2">
        <v>40864.629999999997</v>
      </c>
      <c r="E2018" s="2">
        <v>40864.629999999997</v>
      </c>
      <c r="F2018" s="2">
        <v>21347.49</v>
      </c>
      <c r="G2018" s="2">
        <v>18915.849999999999</v>
      </c>
    </row>
    <row r="2019" spans="1:7" x14ac:dyDescent="0.25">
      <c r="A2019" s="1">
        <v>45108</v>
      </c>
      <c r="B2019" t="s">
        <v>26</v>
      </c>
      <c r="C2019" t="s">
        <v>18</v>
      </c>
      <c r="D2019" s="2">
        <v>129974730.05</v>
      </c>
      <c r="E2019" s="2">
        <v>147621629.75</v>
      </c>
      <c r="F2019" s="2">
        <v>148805615.44</v>
      </c>
      <c r="G2019" s="2">
        <v>132734949.76000001</v>
      </c>
    </row>
    <row r="2020" spans="1:7" x14ac:dyDescent="0.25">
      <c r="A2020" s="1">
        <v>45108</v>
      </c>
      <c r="B2020" t="s">
        <v>7</v>
      </c>
      <c r="C2020" t="s">
        <v>22</v>
      </c>
      <c r="D2020" s="2">
        <v>174763796.31</v>
      </c>
      <c r="E2020" s="2">
        <v>873674281.02999997</v>
      </c>
      <c r="F2020" s="2">
        <v>877805588.69000006</v>
      </c>
      <c r="G2020">
        <v>0</v>
      </c>
    </row>
    <row r="2021" spans="1:7" x14ac:dyDescent="0.25">
      <c r="A2021" s="1">
        <v>45108</v>
      </c>
      <c r="B2021" t="s">
        <v>23</v>
      </c>
      <c r="C2021" t="s">
        <v>103</v>
      </c>
      <c r="D2021" s="2">
        <v>660486.40000000002</v>
      </c>
      <c r="E2021" s="2">
        <v>2707151.81</v>
      </c>
      <c r="F2021" s="2">
        <v>7016048.1799999997</v>
      </c>
      <c r="G2021" s="2">
        <v>33825823.520000003</v>
      </c>
    </row>
    <row r="2022" spans="1:7" x14ac:dyDescent="0.25">
      <c r="A2022" s="1">
        <v>45108</v>
      </c>
      <c r="B2022" t="s">
        <v>91</v>
      </c>
      <c r="C2022" t="s">
        <v>72</v>
      </c>
      <c r="D2022" s="2">
        <v>4268915.82</v>
      </c>
      <c r="E2022" s="2">
        <v>7768374.1100000003</v>
      </c>
      <c r="F2022" s="2">
        <v>7859527.4500000002</v>
      </c>
      <c r="G2022">
        <v>0</v>
      </c>
    </row>
    <row r="2023" spans="1:7" x14ac:dyDescent="0.25">
      <c r="A2023" s="1">
        <v>45108</v>
      </c>
      <c r="B2023" t="s">
        <v>62</v>
      </c>
      <c r="C2023" t="s">
        <v>64</v>
      </c>
      <c r="D2023" s="2">
        <v>11139597.27</v>
      </c>
      <c r="E2023" s="2">
        <v>3398278.03</v>
      </c>
      <c r="F2023" s="2">
        <v>3363332.51</v>
      </c>
      <c r="G2023" s="2">
        <v>3719341.89</v>
      </c>
    </row>
    <row r="2024" spans="1:7" x14ac:dyDescent="0.25">
      <c r="A2024" s="1">
        <v>45108</v>
      </c>
      <c r="B2024" t="s">
        <v>15</v>
      </c>
      <c r="C2024" t="s">
        <v>72</v>
      </c>
      <c r="D2024">
        <v>0</v>
      </c>
      <c r="E2024" s="2">
        <v>2165039.4</v>
      </c>
      <c r="F2024" s="2">
        <v>2243077.85</v>
      </c>
      <c r="G2024">
        <v>0</v>
      </c>
    </row>
    <row r="2025" spans="1:7" x14ac:dyDescent="0.25">
      <c r="A2025" s="1">
        <v>45108</v>
      </c>
      <c r="B2025" t="s">
        <v>54</v>
      </c>
      <c r="C2025" t="s">
        <v>8</v>
      </c>
      <c r="D2025" s="2">
        <v>148502.39000000001</v>
      </c>
      <c r="E2025" s="2">
        <v>1172475.44</v>
      </c>
      <c r="F2025" s="2">
        <v>1016861.41</v>
      </c>
      <c r="G2025" s="2">
        <v>3744.41</v>
      </c>
    </row>
    <row r="2026" spans="1:7" x14ac:dyDescent="0.25">
      <c r="A2026" s="1">
        <v>45108</v>
      </c>
      <c r="B2026" t="s">
        <v>26</v>
      </c>
      <c r="C2026" t="s">
        <v>40</v>
      </c>
      <c r="D2026" s="2">
        <v>5695440.8399999999</v>
      </c>
      <c r="E2026" s="2">
        <v>202908.09</v>
      </c>
      <c r="F2026" s="2">
        <v>141287.67000000001</v>
      </c>
      <c r="G2026">
        <v>0</v>
      </c>
    </row>
    <row r="2027" spans="1:7" x14ac:dyDescent="0.25">
      <c r="A2027" s="1">
        <v>45108</v>
      </c>
      <c r="B2027" t="s">
        <v>9</v>
      </c>
      <c r="C2027" t="s">
        <v>106</v>
      </c>
      <c r="D2027" s="2">
        <v>111211773.8</v>
      </c>
      <c r="E2027" s="2">
        <v>1664032.04</v>
      </c>
      <c r="F2027" s="2">
        <v>1799984.6</v>
      </c>
      <c r="G2027" s="2">
        <v>21057525.969999999</v>
      </c>
    </row>
    <row r="2028" spans="1:7" x14ac:dyDescent="0.25">
      <c r="A2028" s="1">
        <v>45108</v>
      </c>
      <c r="B2028" t="s">
        <v>54</v>
      </c>
      <c r="C2028" t="s">
        <v>79</v>
      </c>
      <c r="D2028" s="2">
        <v>284316.96000000002</v>
      </c>
      <c r="E2028" s="2">
        <v>26806.47</v>
      </c>
      <c r="F2028" s="2">
        <v>25762.85</v>
      </c>
      <c r="G2028">
        <v>-8.4499999999999993</v>
      </c>
    </row>
    <row r="2029" spans="1:7" x14ac:dyDescent="0.25">
      <c r="A2029" s="1">
        <v>45108</v>
      </c>
      <c r="B2029" t="s">
        <v>21</v>
      </c>
      <c r="C2029" t="s">
        <v>80</v>
      </c>
      <c r="D2029" s="2">
        <v>263000</v>
      </c>
      <c r="E2029" s="2">
        <v>31359625.98</v>
      </c>
      <c r="F2029" s="2">
        <v>31456416.170000002</v>
      </c>
      <c r="G2029" s="2">
        <v>2379335.65</v>
      </c>
    </row>
    <row r="2030" spans="1:7" x14ac:dyDescent="0.25">
      <c r="A2030" s="1">
        <v>45108</v>
      </c>
      <c r="B2030" t="s">
        <v>91</v>
      </c>
      <c r="C2030" t="s">
        <v>111</v>
      </c>
      <c r="D2030" s="2">
        <v>20568656.649999999</v>
      </c>
      <c r="E2030" s="2">
        <v>1273303.07</v>
      </c>
      <c r="F2030" s="2">
        <v>1275898.23</v>
      </c>
      <c r="G2030" s="2">
        <v>17051803</v>
      </c>
    </row>
    <row r="2031" spans="1:7" x14ac:dyDescent="0.25">
      <c r="A2031" s="1">
        <v>45108</v>
      </c>
      <c r="B2031" t="s">
        <v>13</v>
      </c>
      <c r="C2031" t="s">
        <v>75</v>
      </c>
      <c r="D2031" s="2">
        <v>20000</v>
      </c>
      <c r="E2031" s="2">
        <v>22521.07</v>
      </c>
      <c r="F2031" s="2">
        <v>22521.07</v>
      </c>
      <c r="G2031">
        <v>0</v>
      </c>
    </row>
    <row r="2032" spans="1:7" x14ac:dyDescent="0.25">
      <c r="A2032" s="1">
        <v>45108</v>
      </c>
      <c r="B2032" t="s">
        <v>69</v>
      </c>
      <c r="C2032" t="s">
        <v>105</v>
      </c>
      <c r="D2032" s="2">
        <v>53347.7</v>
      </c>
      <c r="E2032" s="2">
        <v>76410.69</v>
      </c>
      <c r="F2032" s="2">
        <v>697343.41</v>
      </c>
      <c r="G2032" s="2">
        <v>25944.35</v>
      </c>
    </row>
    <row r="2033" spans="1:7" x14ac:dyDescent="0.25">
      <c r="A2033" s="1">
        <v>45108</v>
      </c>
      <c r="B2033" t="s">
        <v>62</v>
      </c>
      <c r="C2033" t="s">
        <v>72</v>
      </c>
      <c r="D2033" s="2">
        <v>1378487.88</v>
      </c>
      <c r="E2033" s="2">
        <v>2908683.33</v>
      </c>
      <c r="F2033" s="2">
        <v>2898160.56</v>
      </c>
      <c r="G2033">
        <v>0</v>
      </c>
    </row>
    <row r="2034" spans="1:7" x14ac:dyDescent="0.25">
      <c r="A2034" s="1">
        <v>45108</v>
      </c>
      <c r="B2034" t="s">
        <v>15</v>
      </c>
      <c r="C2034" t="s">
        <v>103</v>
      </c>
      <c r="D2034" s="2">
        <v>-407207.9</v>
      </c>
      <c r="E2034" s="2">
        <v>4733164.5199999996</v>
      </c>
      <c r="F2034" s="2">
        <v>4375546.6399999997</v>
      </c>
      <c r="G2034" s="2">
        <v>4610667.5599999996</v>
      </c>
    </row>
    <row r="2035" spans="1:7" x14ac:dyDescent="0.25">
      <c r="A2035" s="1">
        <v>45108</v>
      </c>
      <c r="B2035" t="s">
        <v>33</v>
      </c>
      <c r="C2035" t="s">
        <v>76</v>
      </c>
      <c r="D2035" s="2">
        <v>11737831</v>
      </c>
      <c r="E2035" s="2">
        <v>6596044.9199999999</v>
      </c>
      <c r="F2035" s="2">
        <v>10127301.99</v>
      </c>
      <c r="G2035">
        <v>0</v>
      </c>
    </row>
    <row r="2036" spans="1:7" x14ac:dyDescent="0.25">
      <c r="A2036" s="1">
        <v>45108</v>
      </c>
      <c r="B2036" t="s">
        <v>43</v>
      </c>
      <c r="C2036" t="s">
        <v>112</v>
      </c>
      <c r="D2036" s="2">
        <v>418147.02</v>
      </c>
      <c r="E2036" s="2">
        <v>757991.44</v>
      </c>
      <c r="F2036" s="2">
        <v>777667.02</v>
      </c>
      <c r="G2036">
        <v>0</v>
      </c>
    </row>
    <row r="2037" spans="1:7" x14ac:dyDescent="0.25">
      <c r="A2037" s="1">
        <v>45108</v>
      </c>
      <c r="B2037" t="s">
        <v>54</v>
      </c>
      <c r="C2037" t="s">
        <v>110</v>
      </c>
      <c r="D2037" s="2">
        <v>-3727.36</v>
      </c>
      <c r="E2037">
        <v>0</v>
      </c>
      <c r="F2037">
        <v>0</v>
      </c>
      <c r="G2037">
        <v>0</v>
      </c>
    </row>
    <row r="2038" spans="1:7" x14ac:dyDescent="0.25">
      <c r="A2038" s="1">
        <v>45108</v>
      </c>
      <c r="B2038" t="s">
        <v>54</v>
      </c>
      <c r="C2038" t="s">
        <v>14</v>
      </c>
      <c r="D2038" s="2">
        <v>3005129.28</v>
      </c>
      <c r="E2038" s="2">
        <v>2113129.63</v>
      </c>
      <c r="F2038" s="2">
        <v>2063101.89</v>
      </c>
      <c r="G2038" s="2">
        <v>1849252.17</v>
      </c>
    </row>
    <row r="2039" spans="1:7" x14ac:dyDescent="0.25">
      <c r="A2039" s="1">
        <v>45108</v>
      </c>
      <c r="B2039" t="s">
        <v>7</v>
      </c>
      <c r="C2039" t="s">
        <v>16</v>
      </c>
      <c r="D2039" s="2">
        <v>200000</v>
      </c>
      <c r="E2039" s="2">
        <v>2265919.52</v>
      </c>
      <c r="F2039" s="2">
        <v>2265919.52</v>
      </c>
      <c r="G2039">
        <v>0</v>
      </c>
    </row>
    <row r="2040" spans="1:7" x14ac:dyDescent="0.25">
      <c r="A2040" s="1">
        <v>45108</v>
      </c>
      <c r="B2040" t="s">
        <v>33</v>
      </c>
      <c r="C2040" t="s">
        <v>22</v>
      </c>
      <c r="D2040" s="2">
        <v>77904804.790000007</v>
      </c>
      <c r="E2040" s="2">
        <v>158878704.87</v>
      </c>
      <c r="F2040" s="2">
        <v>159178290.65000001</v>
      </c>
      <c r="G2040">
        <v>0</v>
      </c>
    </row>
    <row r="2041" spans="1:7" x14ac:dyDescent="0.25">
      <c r="A2041" s="1">
        <v>45108</v>
      </c>
      <c r="B2041" t="s">
        <v>65</v>
      </c>
      <c r="C2041" t="s">
        <v>73</v>
      </c>
      <c r="D2041" s="2">
        <v>2034458412.99</v>
      </c>
      <c r="E2041" s="2">
        <v>2027338194.0999999</v>
      </c>
      <c r="F2041" s="2">
        <v>2027338787.55</v>
      </c>
      <c r="G2041">
        <v>997.98</v>
      </c>
    </row>
    <row r="2042" spans="1:7" x14ac:dyDescent="0.25">
      <c r="A2042" s="1">
        <v>45108</v>
      </c>
      <c r="B2042" t="s">
        <v>33</v>
      </c>
      <c r="C2042" t="s">
        <v>99</v>
      </c>
      <c r="D2042" s="2">
        <v>-97943.07</v>
      </c>
      <c r="E2042" s="2">
        <v>2006489.91</v>
      </c>
      <c r="F2042" s="2">
        <v>2258735.4700000002</v>
      </c>
      <c r="G2042" s="2">
        <v>92134.82</v>
      </c>
    </row>
    <row r="2043" spans="1:7" x14ac:dyDescent="0.25">
      <c r="A2043" s="1">
        <v>45108</v>
      </c>
      <c r="B2043" t="s">
        <v>33</v>
      </c>
      <c r="C2043" t="s">
        <v>75</v>
      </c>
      <c r="D2043" s="2">
        <v>25574130.120000001</v>
      </c>
      <c r="E2043" s="2">
        <v>22999254.390000001</v>
      </c>
      <c r="F2043" s="2">
        <v>20823724.109999999</v>
      </c>
      <c r="G2043" s="2">
        <v>17466349.140000001</v>
      </c>
    </row>
    <row r="2044" spans="1:7" x14ac:dyDescent="0.25">
      <c r="A2044" s="1">
        <v>45108</v>
      </c>
      <c r="B2044" t="s">
        <v>104</v>
      </c>
      <c r="C2044" t="s">
        <v>108</v>
      </c>
      <c r="D2044" s="2">
        <v>1945828.17</v>
      </c>
      <c r="E2044" s="2">
        <v>13299199.16</v>
      </c>
      <c r="F2044" s="2">
        <v>13064240.17</v>
      </c>
      <c r="G2044" s="2">
        <v>1564303.72</v>
      </c>
    </row>
    <row r="2045" spans="1:7" x14ac:dyDescent="0.25">
      <c r="A2045" s="1">
        <v>45108</v>
      </c>
      <c r="B2045" t="s">
        <v>91</v>
      </c>
      <c r="C2045" t="s">
        <v>75</v>
      </c>
      <c r="D2045" s="2">
        <v>2515374.1800000002</v>
      </c>
      <c r="E2045" s="2">
        <v>10361438.48</v>
      </c>
      <c r="F2045" s="2">
        <v>12729897.210000001</v>
      </c>
      <c r="G2045" s="2">
        <v>89785.46</v>
      </c>
    </row>
    <row r="2046" spans="1:7" x14ac:dyDescent="0.25">
      <c r="A2046" s="1">
        <v>45108</v>
      </c>
      <c r="B2046" t="s">
        <v>69</v>
      </c>
      <c r="C2046" t="s">
        <v>77</v>
      </c>
      <c r="D2046" s="2">
        <v>15000</v>
      </c>
      <c r="E2046" s="2">
        <v>229350.22</v>
      </c>
      <c r="F2046" s="2">
        <v>229350.22</v>
      </c>
      <c r="G2046" s="2">
        <v>1000000</v>
      </c>
    </row>
    <row r="2047" spans="1:7" x14ac:dyDescent="0.25">
      <c r="A2047" s="1">
        <v>45108</v>
      </c>
      <c r="B2047" t="s">
        <v>23</v>
      </c>
      <c r="C2047" t="s">
        <v>121</v>
      </c>
      <c r="D2047" s="2">
        <v>20199506.91</v>
      </c>
      <c r="E2047" s="2">
        <v>4521919.38</v>
      </c>
      <c r="F2047" s="2">
        <v>4321639.5999999996</v>
      </c>
      <c r="G2047" s="2">
        <v>297718.15999999997</v>
      </c>
    </row>
    <row r="2048" spans="1:7" x14ac:dyDescent="0.25">
      <c r="A2048" s="1">
        <v>45108</v>
      </c>
      <c r="B2048" t="s">
        <v>91</v>
      </c>
      <c r="C2048" t="s">
        <v>109</v>
      </c>
      <c r="D2048" s="2">
        <v>26292732.41</v>
      </c>
      <c r="E2048" s="2">
        <v>88081128.819999993</v>
      </c>
      <c r="F2048" s="2">
        <v>86579703.310000002</v>
      </c>
      <c r="G2048" s="2">
        <v>8480886.1899999995</v>
      </c>
    </row>
    <row r="2049" spans="1:7" x14ac:dyDescent="0.25">
      <c r="A2049" s="1">
        <v>45108</v>
      </c>
      <c r="B2049" t="s">
        <v>65</v>
      </c>
      <c r="C2049" t="s">
        <v>75</v>
      </c>
      <c r="D2049" s="2">
        <v>2174018.37</v>
      </c>
      <c r="E2049" s="2">
        <v>2739570.96</v>
      </c>
      <c r="F2049" s="2">
        <v>2531391.87</v>
      </c>
      <c r="G2049" s="2">
        <v>1711373.64</v>
      </c>
    </row>
    <row r="2050" spans="1:7" x14ac:dyDescent="0.25">
      <c r="A2050" s="1">
        <v>45108</v>
      </c>
      <c r="B2050" t="s">
        <v>33</v>
      </c>
      <c r="C2050" t="s">
        <v>72</v>
      </c>
      <c r="D2050" s="2">
        <v>55443668.640000001</v>
      </c>
      <c r="E2050" s="2">
        <v>86928454.090000004</v>
      </c>
      <c r="F2050" s="2">
        <v>87071415.200000003</v>
      </c>
      <c r="G2050">
        <v>0</v>
      </c>
    </row>
    <row r="2051" spans="1:7" x14ac:dyDescent="0.25">
      <c r="A2051" s="1">
        <v>45108</v>
      </c>
      <c r="B2051" t="s">
        <v>37</v>
      </c>
      <c r="C2051" t="s">
        <v>72</v>
      </c>
      <c r="D2051" s="2">
        <v>51000</v>
      </c>
      <c r="E2051" s="2">
        <v>1534475.96</v>
      </c>
      <c r="F2051" s="2">
        <v>1653593.96</v>
      </c>
      <c r="G2051">
        <v>0</v>
      </c>
    </row>
    <row r="2052" spans="1:7" x14ac:dyDescent="0.25">
      <c r="A2052" s="1">
        <v>45108</v>
      </c>
      <c r="B2052" t="s">
        <v>69</v>
      </c>
      <c r="C2052" t="s">
        <v>57</v>
      </c>
      <c r="D2052" s="2">
        <v>28931251.289999999</v>
      </c>
      <c r="E2052" s="2">
        <v>99325535.5</v>
      </c>
      <c r="F2052" s="2">
        <v>121687739.86</v>
      </c>
      <c r="G2052" s="2">
        <v>2349065.4</v>
      </c>
    </row>
    <row r="2053" spans="1:7" x14ac:dyDescent="0.25">
      <c r="A2053" s="1">
        <v>45108</v>
      </c>
      <c r="B2053" t="s">
        <v>17</v>
      </c>
      <c r="C2053" t="s">
        <v>126</v>
      </c>
      <c r="D2053" s="2">
        <v>14315051.529999999</v>
      </c>
      <c r="E2053" s="2">
        <v>3398996.12</v>
      </c>
      <c r="F2053" s="2">
        <v>4918567.95</v>
      </c>
      <c r="G2053" s="2">
        <v>4460273.4800000004</v>
      </c>
    </row>
    <row r="2054" spans="1:7" x14ac:dyDescent="0.25">
      <c r="A2054" s="1">
        <v>45108</v>
      </c>
      <c r="B2054" t="s">
        <v>43</v>
      </c>
      <c r="C2054" t="s">
        <v>122</v>
      </c>
      <c r="D2054" s="2">
        <v>396708.03</v>
      </c>
      <c r="E2054" s="2">
        <v>291792.59999999998</v>
      </c>
      <c r="F2054" s="2">
        <v>306221.73</v>
      </c>
      <c r="G2054" s="2">
        <v>14875.22</v>
      </c>
    </row>
    <row r="2055" spans="1:7" x14ac:dyDescent="0.25">
      <c r="A2055" s="1">
        <v>45108</v>
      </c>
      <c r="B2055" t="s">
        <v>54</v>
      </c>
      <c r="C2055" t="s">
        <v>102</v>
      </c>
      <c r="D2055" s="2">
        <v>3793953.83</v>
      </c>
      <c r="E2055" s="2">
        <v>2909972.24</v>
      </c>
      <c r="F2055" s="2">
        <v>2826708.93</v>
      </c>
      <c r="G2055" s="2">
        <v>2060583.63</v>
      </c>
    </row>
    <row r="2056" spans="1:7" x14ac:dyDescent="0.25">
      <c r="A2056" s="1">
        <v>45108</v>
      </c>
      <c r="B2056" t="s">
        <v>23</v>
      </c>
      <c r="C2056" t="s">
        <v>110</v>
      </c>
      <c r="D2056" s="2">
        <v>2420297600.5</v>
      </c>
      <c r="E2056" s="2">
        <v>1678492623.9300001</v>
      </c>
      <c r="F2056" s="2">
        <v>1444280554.1800001</v>
      </c>
      <c r="G2056" s="2">
        <v>93427850.969999999</v>
      </c>
    </row>
    <row r="2057" spans="1:7" x14ac:dyDescent="0.25">
      <c r="A2057" s="1">
        <v>45108</v>
      </c>
      <c r="B2057" t="s">
        <v>54</v>
      </c>
      <c r="C2057" t="s">
        <v>20</v>
      </c>
      <c r="D2057" s="2">
        <v>5932708.9000000004</v>
      </c>
      <c r="E2057" s="2">
        <v>1930120.31</v>
      </c>
      <c r="F2057" s="2">
        <v>1702900.92</v>
      </c>
      <c r="G2057" s="2">
        <v>1563481.28</v>
      </c>
    </row>
    <row r="2058" spans="1:7" x14ac:dyDescent="0.25">
      <c r="A2058" s="1">
        <v>45108</v>
      </c>
      <c r="B2058" t="s">
        <v>43</v>
      </c>
      <c r="C2058" t="s">
        <v>12</v>
      </c>
      <c r="D2058" s="2">
        <v>167382.53</v>
      </c>
      <c r="E2058" s="2">
        <v>156554.59</v>
      </c>
      <c r="F2058" s="2">
        <v>244036.09</v>
      </c>
      <c r="G2058">
        <v>0</v>
      </c>
    </row>
    <row r="2059" spans="1:7" x14ac:dyDescent="0.25">
      <c r="A2059" s="1">
        <v>45108</v>
      </c>
      <c r="B2059" t="s">
        <v>54</v>
      </c>
      <c r="C2059" t="s">
        <v>76</v>
      </c>
      <c r="D2059" s="2">
        <v>3171862.33</v>
      </c>
      <c r="E2059" s="2">
        <v>191420.41</v>
      </c>
      <c r="F2059" s="2">
        <v>168847.18</v>
      </c>
      <c r="G2059" s="2">
        <v>387940.25</v>
      </c>
    </row>
    <row r="2060" spans="1:7" x14ac:dyDescent="0.25">
      <c r="A2060" s="1">
        <v>45108</v>
      </c>
      <c r="B2060" t="s">
        <v>11</v>
      </c>
      <c r="C2060" t="s">
        <v>39</v>
      </c>
      <c r="D2060" s="2">
        <v>486448.93</v>
      </c>
      <c r="E2060" s="2">
        <v>621661.85</v>
      </c>
      <c r="F2060" s="2">
        <v>621661.85</v>
      </c>
      <c r="G2060" s="2">
        <v>45359.4</v>
      </c>
    </row>
    <row r="2061" spans="1:7" x14ac:dyDescent="0.25">
      <c r="A2061" s="1">
        <v>45108</v>
      </c>
      <c r="B2061" t="s">
        <v>26</v>
      </c>
      <c r="C2061" t="s">
        <v>24</v>
      </c>
      <c r="D2061" s="2">
        <v>37745.18</v>
      </c>
      <c r="E2061" s="2">
        <v>88122.57</v>
      </c>
      <c r="F2061" s="2">
        <v>82336.66</v>
      </c>
      <c r="G2061">
        <v>0</v>
      </c>
    </row>
    <row r="2062" spans="1:7" x14ac:dyDescent="0.25">
      <c r="A2062" s="1">
        <v>45108</v>
      </c>
      <c r="B2062" t="s">
        <v>9</v>
      </c>
      <c r="C2062" t="s">
        <v>72</v>
      </c>
      <c r="D2062" s="2">
        <v>13955263.130000001</v>
      </c>
      <c r="E2062" s="2">
        <v>36257819.799999997</v>
      </c>
      <c r="F2062" s="2">
        <v>35484984.049999997</v>
      </c>
      <c r="G2062">
        <v>0</v>
      </c>
    </row>
    <row r="2063" spans="1:7" x14ac:dyDescent="0.25">
      <c r="A2063" s="1">
        <v>45108</v>
      </c>
      <c r="B2063" t="s">
        <v>54</v>
      </c>
      <c r="C2063" t="s">
        <v>89</v>
      </c>
      <c r="D2063" s="2">
        <v>1920288.34</v>
      </c>
      <c r="E2063" s="2">
        <v>126021.89</v>
      </c>
      <c r="F2063" s="2">
        <v>96381.43</v>
      </c>
      <c r="G2063" s="2">
        <v>63209.38</v>
      </c>
    </row>
    <row r="2064" spans="1:7" x14ac:dyDescent="0.25">
      <c r="A2064" s="1">
        <v>45108</v>
      </c>
      <c r="B2064" t="s">
        <v>62</v>
      </c>
      <c r="C2064" t="s">
        <v>107</v>
      </c>
      <c r="D2064" s="2">
        <v>89646869.810000002</v>
      </c>
      <c r="E2064" s="2">
        <v>10336690.08</v>
      </c>
      <c r="F2064" s="2">
        <v>158576655.21000001</v>
      </c>
      <c r="G2064" s="2">
        <v>5427922.6200000001</v>
      </c>
    </row>
    <row r="2065" spans="1:7" x14ac:dyDescent="0.25">
      <c r="A2065" s="1">
        <v>45108</v>
      </c>
      <c r="B2065" t="s">
        <v>52</v>
      </c>
      <c r="C2065" t="s">
        <v>118</v>
      </c>
      <c r="D2065" s="2">
        <v>105556395.84999999</v>
      </c>
      <c r="E2065" s="2">
        <v>23557830.09</v>
      </c>
      <c r="F2065" s="2">
        <v>25314251.280000001</v>
      </c>
      <c r="G2065" s="2">
        <v>5483207.3600000003</v>
      </c>
    </row>
    <row r="2066" spans="1:7" x14ac:dyDescent="0.25">
      <c r="A2066" s="1">
        <v>45108</v>
      </c>
      <c r="B2066" t="s">
        <v>54</v>
      </c>
      <c r="C2066" t="s">
        <v>10</v>
      </c>
      <c r="D2066" s="2">
        <v>10644916.560000001</v>
      </c>
      <c r="E2066" s="2">
        <v>11605646.560000001</v>
      </c>
      <c r="F2066" s="2">
        <v>10273756.07</v>
      </c>
      <c r="G2066" s="2">
        <v>12134669.34</v>
      </c>
    </row>
    <row r="2067" spans="1:7" x14ac:dyDescent="0.25">
      <c r="A2067" s="1">
        <v>45108</v>
      </c>
      <c r="B2067" t="s">
        <v>87</v>
      </c>
      <c r="C2067" t="s">
        <v>77</v>
      </c>
      <c r="D2067" s="2">
        <v>-49768789.979999997</v>
      </c>
      <c r="E2067" s="2">
        <v>18750701.16</v>
      </c>
      <c r="F2067" s="2">
        <v>18782370.969999999</v>
      </c>
      <c r="G2067" s="2">
        <v>11768606.74</v>
      </c>
    </row>
    <row r="2068" spans="1:7" x14ac:dyDescent="0.25">
      <c r="A2068" s="1">
        <v>45108</v>
      </c>
      <c r="B2068" t="s">
        <v>15</v>
      </c>
      <c r="C2068" t="s">
        <v>75</v>
      </c>
      <c r="D2068" s="2">
        <v>7647879.9699999997</v>
      </c>
      <c r="E2068" s="2">
        <v>5110035.9800000004</v>
      </c>
      <c r="F2068" s="2">
        <v>6024536.0300000003</v>
      </c>
      <c r="G2068" s="2">
        <v>674322.42</v>
      </c>
    </row>
    <row r="2069" spans="1:7" x14ac:dyDescent="0.25">
      <c r="A2069" s="1">
        <v>45108</v>
      </c>
      <c r="B2069" t="s">
        <v>33</v>
      </c>
      <c r="C2069" t="s">
        <v>119</v>
      </c>
      <c r="D2069" s="2">
        <v>5700036.79</v>
      </c>
      <c r="E2069" s="2">
        <v>6479354.4900000002</v>
      </c>
      <c r="F2069" s="2">
        <v>6719489.1500000004</v>
      </c>
      <c r="G2069" s="2">
        <v>1498602.41</v>
      </c>
    </row>
    <row r="2070" spans="1:7" x14ac:dyDescent="0.25">
      <c r="A2070" s="1">
        <v>45108</v>
      </c>
      <c r="B2070" t="s">
        <v>21</v>
      </c>
      <c r="C2070" t="s">
        <v>84</v>
      </c>
      <c r="D2070" s="2">
        <v>201470013.66</v>
      </c>
      <c r="E2070" s="2">
        <v>220675261.28999999</v>
      </c>
      <c r="F2070" s="2">
        <v>220579770.49000001</v>
      </c>
      <c r="G2070" s="2">
        <v>106247669.20999999</v>
      </c>
    </row>
    <row r="2071" spans="1:7" x14ac:dyDescent="0.25">
      <c r="A2071" s="1">
        <v>45108</v>
      </c>
      <c r="B2071" t="s">
        <v>52</v>
      </c>
      <c r="C2071" t="s">
        <v>101</v>
      </c>
      <c r="D2071">
        <v>0</v>
      </c>
      <c r="E2071">
        <v>0</v>
      </c>
      <c r="F2071">
        <v>0</v>
      </c>
      <c r="G2071" s="2">
        <v>213326218.41999999</v>
      </c>
    </row>
    <row r="2072" spans="1:7" x14ac:dyDescent="0.25">
      <c r="A2072" s="1">
        <v>45108</v>
      </c>
      <c r="B2072" t="s">
        <v>47</v>
      </c>
      <c r="C2072" t="s">
        <v>76</v>
      </c>
      <c r="D2072" s="2">
        <v>433106.95</v>
      </c>
      <c r="E2072" s="2">
        <v>24056423.780000001</v>
      </c>
      <c r="F2072" s="2">
        <v>26392551.359999999</v>
      </c>
      <c r="G2072" s="2">
        <v>2812166.43</v>
      </c>
    </row>
    <row r="2073" spans="1:7" x14ac:dyDescent="0.25">
      <c r="A2073" s="1">
        <v>45108</v>
      </c>
      <c r="B2073" t="s">
        <v>13</v>
      </c>
      <c r="C2073" t="s">
        <v>72</v>
      </c>
      <c r="D2073" s="2">
        <v>1960761.04</v>
      </c>
      <c r="E2073" s="2">
        <v>8949009.3599999994</v>
      </c>
      <c r="F2073" s="2">
        <v>8741330.8399999999</v>
      </c>
      <c r="G2073">
        <v>0</v>
      </c>
    </row>
    <row r="2074" spans="1:7" x14ac:dyDescent="0.25">
      <c r="A2074" s="1">
        <v>45108</v>
      </c>
      <c r="B2074" t="s">
        <v>54</v>
      </c>
      <c r="C2074" t="s">
        <v>117</v>
      </c>
      <c r="D2074" s="2">
        <v>7255259.5999999996</v>
      </c>
      <c r="E2074" s="2">
        <v>16211945.17</v>
      </c>
      <c r="F2074" s="2">
        <v>17087820.75</v>
      </c>
      <c r="G2074">
        <v>0</v>
      </c>
    </row>
    <row r="2075" spans="1:7" x14ac:dyDescent="0.25">
      <c r="A2075" s="1">
        <v>45108</v>
      </c>
      <c r="B2075" t="s">
        <v>36</v>
      </c>
      <c r="C2075" t="s">
        <v>58</v>
      </c>
      <c r="D2075" s="2">
        <v>308828908.86000001</v>
      </c>
      <c r="E2075" s="2">
        <v>3849704.58</v>
      </c>
      <c r="F2075" s="2">
        <v>3690835.72</v>
      </c>
      <c r="G2075" s="2">
        <v>25097793.41</v>
      </c>
    </row>
    <row r="2076" spans="1:7" x14ac:dyDescent="0.25">
      <c r="A2076" s="1">
        <v>45108</v>
      </c>
      <c r="B2076" t="s">
        <v>54</v>
      </c>
      <c r="C2076" t="s">
        <v>71</v>
      </c>
      <c r="D2076" s="2">
        <v>1960869.04</v>
      </c>
      <c r="E2076" s="2">
        <v>649419.94999999995</v>
      </c>
      <c r="F2076" s="2">
        <v>580905.97</v>
      </c>
      <c r="G2076" s="2">
        <v>467093.05</v>
      </c>
    </row>
    <row r="2077" spans="1:7" x14ac:dyDescent="0.25">
      <c r="A2077" s="1">
        <v>45108</v>
      </c>
      <c r="B2077" t="s">
        <v>69</v>
      </c>
      <c r="C2077" t="s">
        <v>20</v>
      </c>
      <c r="D2077" s="2">
        <v>14743727.029999999</v>
      </c>
      <c r="E2077" s="2">
        <v>9123156.6999999993</v>
      </c>
      <c r="F2077" s="2">
        <v>8683405.3699999992</v>
      </c>
      <c r="G2077" s="2">
        <v>2061352.28</v>
      </c>
    </row>
    <row r="2078" spans="1:7" x14ac:dyDescent="0.25">
      <c r="A2078" s="1">
        <v>45108</v>
      </c>
      <c r="B2078" t="s">
        <v>23</v>
      </c>
      <c r="C2078" t="s">
        <v>12</v>
      </c>
      <c r="D2078" s="2">
        <v>31769594.170000002</v>
      </c>
      <c r="E2078" s="2">
        <v>161436185.46000001</v>
      </c>
      <c r="F2078" s="2">
        <v>166057441.38</v>
      </c>
      <c r="G2078" s="2">
        <v>2801968.66</v>
      </c>
    </row>
    <row r="2079" spans="1:7" x14ac:dyDescent="0.25">
      <c r="A2079" s="1">
        <v>45108</v>
      </c>
      <c r="B2079" t="s">
        <v>7</v>
      </c>
      <c r="C2079" t="s">
        <v>8</v>
      </c>
      <c r="D2079" s="2">
        <v>14687474.140000001</v>
      </c>
      <c r="E2079" s="2">
        <v>21477.119999999999</v>
      </c>
      <c r="F2079" s="2">
        <v>16060.92</v>
      </c>
      <c r="G2079" s="2">
        <v>268544.37</v>
      </c>
    </row>
    <row r="2080" spans="1:7" x14ac:dyDescent="0.25">
      <c r="A2080" s="1">
        <v>45108</v>
      </c>
      <c r="B2080" t="s">
        <v>7</v>
      </c>
      <c r="C2080" t="s">
        <v>78</v>
      </c>
      <c r="D2080">
        <v>0</v>
      </c>
      <c r="E2080">
        <v>0</v>
      </c>
      <c r="F2080">
        <v>0</v>
      </c>
      <c r="G2080" s="2">
        <v>21630.37</v>
      </c>
    </row>
    <row r="2081" spans="1:7" x14ac:dyDescent="0.25">
      <c r="A2081" s="1">
        <v>45108</v>
      </c>
      <c r="B2081" t="s">
        <v>36</v>
      </c>
      <c r="C2081" t="s">
        <v>57</v>
      </c>
      <c r="D2081" s="2">
        <v>270000</v>
      </c>
      <c r="E2081" s="2">
        <v>4687975.63</v>
      </c>
      <c r="F2081" s="2">
        <v>4718514.46</v>
      </c>
      <c r="G2081" s="2">
        <v>2931697.09</v>
      </c>
    </row>
    <row r="2082" spans="1:7" x14ac:dyDescent="0.25">
      <c r="A2082" s="1">
        <v>45108</v>
      </c>
      <c r="B2082" t="s">
        <v>91</v>
      </c>
      <c r="C2082" t="s">
        <v>79</v>
      </c>
      <c r="D2082" s="2">
        <v>4886379.95</v>
      </c>
      <c r="E2082" s="2">
        <v>8321290.5700000003</v>
      </c>
      <c r="F2082" s="2">
        <v>7784861.6900000004</v>
      </c>
      <c r="G2082" s="2">
        <v>11647292.33</v>
      </c>
    </row>
    <row r="2083" spans="1:7" x14ac:dyDescent="0.25">
      <c r="A2083" s="1">
        <v>45108</v>
      </c>
      <c r="B2083" t="s">
        <v>7</v>
      </c>
      <c r="C2083" t="s">
        <v>123</v>
      </c>
      <c r="D2083" s="2">
        <v>2308040.12</v>
      </c>
      <c r="E2083" s="2">
        <v>2025332.97</v>
      </c>
      <c r="F2083" s="2">
        <v>1975610.22</v>
      </c>
      <c r="G2083" s="2">
        <v>985748.52</v>
      </c>
    </row>
    <row r="2084" spans="1:7" x14ac:dyDescent="0.25">
      <c r="A2084" s="1">
        <v>45108</v>
      </c>
      <c r="B2084" t="s">
        <v>28</v>
      </c>
      <c r="C2084" t="s">
        <v>72</v>
      </c>
      <c r="D2084" s="2">
        <v>35480789.719999999</v>
      </c>
      <c r="E2084" s="2">
        <v>24314224.629999999</v>
      </c>
      <c r="F2084" s="2">
        <v>22863228.850000001</v>
      </c>
      <c r="G2084">
        <v>0</v>
      </c>
    </row>
    <row r="2085" spans="1:7" x14ac:dyDescent="0.25">
      <c r="A2085" s="1">
        <v>45108</v>
      </c>
      <c r="B2085" t="s">
        <v>28</v>
      </c>
      <c r="C2085" t="s">
        <v>57</v>
      </c>
      <c r="D2085" s="2">
        <v>407686625.98000002</v>
      </c>
      <c r="E2085" s="2">
        <v>215712909.28999999</v>
      </c>
      <c r="F2085" s="2">
        <v>257912816.24000001</v>
      </c>
      <c r="G2085" s="2">
        <v>2681859.4500000002</v>
      </c>
    </row>
    <row r="2086" spans="1:7" x14ac:dyDescent="0.25">
      <c r="A2086" s="1">
        <v>45108</v>
      </c>
      <c r="B2086" t="s">
        <v>47</v>
      </c>
      <c r="C2086" t="s">
        <v>14</v>
      </c>
      <c r="D2086" s="2">
        <v>2167523</v>
      </c>
      <c r="E2086" s="2">
        <v>6454218.8399999999</v>
      </c>
      <c r="F2086" s="2">
        <v>8254218.8399999999</v>
      </c>
      <c r="G2086" s="2">
        <v>370013.31</v>
      </c>
    </row>
    <row r="2087" spans="1:7" x14ac:dyDescent="0.25">
      <c r="A2087" s="1">
        <v>45108</v>
      </c>
      <c r="B2087" t="s">
        <v>37</v>
      </c>
      <c r="C2087" t="s">
        <v>75</v>
      </c>
      <c r="D2087" s="2">
        <v>143865563.88</v>
      </c>
      <c r="E2087" s="2">
        <v>5474246.2000000002</v>
      </c>
      <c r="F2087" s="2">
        <v>5162346.49</v>
      </c>
      <c r="G2087" s="2">
        <v>2181417.0499999998</v>
      </c>
    </row>
    <row r="2088" spans="1:7" x14ac:dyDescent="0.25">
      <c r="A2088" s="1">
        <v>45108</v>
      </c>
      <c r="B2088" t="s">
        <v>43</v>
      </c>
      <c r="C2088" t="s">
        <v>57</v>
      </c>
      <c r="D2088" s="2">
        <v>185686819.16999999</v>
      </c>
      <c r="E2088" s="2">
        <v>87669697.549999997</v>
      </c>
      <c r="F2088" s="2">
        <v>107996326.01000001</v>
      </c>
      <c r="G2088" s="2">
        <v>324572.17</v>
      </c>
    </row>
    <row r="2089" spans="1:7" x14ac:dyDescent="0.25">
      <c r="A2089" s="1">
        <v>45108</v>
      </c>
      <c r="B2089" t="s">
        <v>15</v>
      </c>
      <c r="C2089" t="s">
        <v>57</v>
      </c>
      <c r="D2089" s="2">
        <v>16907423.120000001</v>
      </c>
      <c r="E2089" s="2">
        <v>53208947.950000003</v>
      </c>
      <c r="F2089" s="2">
        <v>66276464.630000003</v>
      </c>
      <c r="G2089" s="2">
        <v>117717.16</v>
      </c>
    </row>
    <row r="2090" spans="1:7" x14ac:dyDescent="0.25">
      <c r="A2090" s="1">
        <v>45108</v>
      </c>
      <c r="B2090" t="s">
        <v>43</v>
      </c>
      <c r="C2090" t="s">
        <v>66</v>
      </c>
      <c r="D2090" s="2">
        <v>97483.01</v>
      </c>
      <c r="E2090" s="2">
        <v>55109.43</v>
      </c>
      <c r="F2090" s="2">
        <v>69266.81</v>
      </c>
      <c r="G2090" s="2">
        <v>20138.96</v>
      </c>
    </row>
    <row r="2091" spans="1:7" x14ac:dyDescent="0.25">
      <c r="A2091" s="1">
        <v>45108</v>
      </c>
      <c r="B2091" t="s">
        <v>54</v>
      </c>
      <c r="C2091" t="s">
        <v>101</v>
      </c>
      <c r="D2091" s="2">
        <v>218296118.33000001</v>
      </c>
      <c r="E2091" s="2">
        <v>2735733.29</v>
      </c>
      <c r="F2091" s="2">
        <v>341492.88</v>
      </c>
      <c r="G2091" s="2">
        <v>61654931.149999999</v>
      </c>
    </row>
    <row r="2092" spans="1:7" x14ac:dyDescent="0.25">
      <c r="A2092" s="1">
        <v>45108</v>
      </c>
      <c r="B2092" t="s">
        <v>37</v>
      </c>
      <c r="C2092" t="s">
        <v>24</v>
      </c>
      <c r="D2092" s="2">
        <v>28818353.57</v>
      </c>
      <c r="E2092" s="2">
        <v>10443292.539999999</v>
      </c>
      <c r="F2092" s="2">
        <v>10189828.720000001</v>
      </c>
      <c r="G2092" s="2">
        <v>26434303.98</v>
      </c>
    </row>
    <row r="2093" spans="1:7" x14ac:dyDescent="0.25">
      <c r="A2093" s="1">
        <v>45108</v>
      </c>
      <c r="B2093" t="s">
        <v>33</v>
      </c>
      <c r="C2093" t="s">
        <v>14</v>
      </c>
      <c r="D2093" s="2">
        <v>5187179.34</v>
      </c>
      <c r="E2093" s="2">
        <v>149772668.66999999</v>
      </c>
      <c r="F2093" s="2">
        <v>149271018.00999999</v>
      </c>
      <c r="G2093" s="2">
        <v>7093340.6100000003</v>
      </c>
    </row>
    <row r="2094" spans="1:7" x14ac:dyDescent="0.25">
      <c r="A2094" s="1">
        <v>45108</v>
      </c>
      <c r="B2094" t="s">
        <v>52</v>
      </c>
      <c r="C2094" t="s">
        <v>46</v>
      </c>
      <c r="D2094" s="2">
        <v>380224387.20999998</v>
      </c>
      <c r="E2094">
        <v>0</v>
      </c>
      <c r="F2094">
        <v>0</v>
      </c>
      <c r="G2094" s="2">
        <v>165801959.55000001</v>
      </c>
    </row>
    <row r="2095" spans="1:7" x14ac:dyDescent="0.25">
      <c r="A2095" s="1">
        <v>45108</v>
      </c>
      <c r="B2095" t="s">
        <v>28</v>
      </c>
      <c r="C2095" t="s">
        <v>125</v>
      </c>
      <c r="D2095" s="2">
        <v>1520503103.3099999</v>
      </c>
      <c r="E2095" s="2">
        <v>8081315874.8100004</v>
      </c>
      <c r="F2095" s="2">
        <v>11914665489.6</v>
      </c>
      <c r="G2095" s="2">
        <v>3128.8</v>
      </c>
    </row>
    <row r="2096" spans="1:7" x14ac:dyDescent="0.25">
      <c r="A2096" s="1">
        <v>45108</v>
      </c>
      <c r="B2096" t="s">
        <v>7</v>
      </c>
      <c r="C2096" t="s">
        <v>72</v>
      </c>
      <c r="D2096" s="2">
        <v>103839228.7</v>
      </c>
      <c r="E2096" s="2">
        <v>302566168.55000001</v>
      </c>
      <c r="F2096" s="2">
        <v>301779321.47000003</v>
      </c>
      <c r="G2096">
        <v>0</v>
      </c>
    </row>
    <row r="2097" spans="1:7" x14ac:dyDescent="0.25">
      <c r="A2097" s="1">
        <v>45108</v>
      </c>
      <c r="B2097" t="s">
        <v>69</v>
      </c>
      <c r="C2097" t="s">
        <v>59</v>
      </c>
      <c r="D2097" s="2">
        <v>24017409.98</v>
      </c>
      <c r="E2097" s="2">
        <v>13199035.66</v>
      </c>
      <c r="F2097" s="2">
        <v>16603499.449999999</v>
      </c>
      <c r="G2097" s="2">
        <v>10511847.550000001</v>
      </c>
    </row>
    <row r="2098" spans="1:7" x14ac:dyDescent="0.25">
      <c r="A2098" s="1">
        <v>45108</v>
      </c>
      <c r="B2098" t="s">
        <v>62</v>
      </c>
      <c r="C2098" t="s">
        <v>57</v>
      </c>
      <c r="D2098" s="2">
        <v>43676785.030000001</v>
      </c>
      <c r="E2098" s="2">
        <v>57325268.960000001</v>
      </c>
      <c r="F2098" s="2">
        <v>67105670.210000001</v>
      </c>
      <c r="G2098" s="2">
        <v>1239076.8600000001</v>
      </c>
    </row>
    <row r="2099" spans="1:7" x14ac:dyDescent="0.25">
      <c r="A2099" s="1">
        <v>45108</v>
      </c>
      <c r="B2099" t="s">
        <v>28</v>
      </c>
      <c r="C2099" t="s">
        <v>22</v>
      </c>
      <c r="D2099" s="2">
        <v>71439077.359999999</v>
      </c>
      <c r="E2099" s="2">
        <v>18638419.719999999</v>
      </c>
      <c r="F2099" s="2">
        <v>18638419.719999999</v>
      </c>
      <c r="G2099">
        <v>0</v>
      </c>
    </row>
    <row r="2100" spans="1:7" x14ac:dyDescent="0.25">
      <c r="A2100" s="1">
        <v>45108</v>
      </c>
      <c r="B2100" t="s">
        <v>104</v>
      </c>
      <c r="C2100" t="s">
        <v>74</v>
      </c>
      <c r="D2100" s="2">
        <v>48793334.670000002</v>
      </c>
      <c r="E2100" s="2">
        <v>3697909</v>
      </c>
      <c r="F2100" s="2">
        <v>3697909</v>
      </c>
      <c r="G2100" s="2">
        <v>40261763.719999999</v>
      </c>
    </row>
    <row r="2101" spans="1:7" x14ac:dyDescent="0.25">
      <c r="A2101" s="1">
        <v>45108</v>
      </c>
      <c r="B2101" t="s">
        <v>23</v>
      </c>
      <c r="C2101" t="s">
        <v>115</v>
      </c>
      <c r="D2101" s="2">
        <v>685348915.14999998</v>
      </c>
      <c r="E2101" s="2">
        <v>583413992.50999999</v>
      </c>
      <c r="F2101" s="2">
        <v>581473853.01999998</v>
      </c>
      <c r="G2101" s="2">
        <v>48301601.030000001</v>
      </c>
    </row>
    <row r="2102" spans="1:7" x14ac:dyDescent="0.25">
      <c r="A2102" s="1">
        <v>45108</v>
      </c>
      <c r="B2102" t="s">
        <v>17</v>
      </c>
      <c r="C2102" t="s">
        <v>113</v>
      </c>
      <c r="D2102" s="2">
        <v>-221848295.27000001</v>
      </c>
      <c r="E2102" s="2">
        <v>1101351445.5699999</v>
      </c>
      <c r="F2102" s="2">
        <v>1101591505.7</v>
      </c>
      <c r="G2102" s="2">
        <v>4467311.6399999997</v>
      </c>
    </row>
    <row r="2103" spans="1:7" x14ac:dyDescent="0.25">
      <c r="A2103" s="1">
        <v>45108</v>
      </c>
      <c r="B2103" t="s">
        <v>7</v>
      </c>
      <c r="C2103" t="s">
        <v>130</v>
      </c>
      <c r="D2103" s="2">
        <v>25367246.23</v>
      </c>
      <c r="E2103" s="2">
        <v>12673232.52</v>
      </c>
      <c r="F2103" s="2">
        <v>12673232.52</v>
      </c>
      <c r="G2103" s="2">
        <v>2141524.63</v>
      </c>
    </row>
    <row r="2104" spans="1:7" x14ac:dyDescent="0.25">
      <c r="A2104" s="1">
        <v>45108</v>
      </c>
      <c r="B2104" t="s">
        <v>54</v>
      </c>
      <c r="C2104" t="s">
        <v>34</v>
      </c>
      <c r="D2104" s="2">
        <v>1684005.25</v>
      </c>
      <c r="E2104" s="2">
        <v>1753751.73</v>
      </c>
      <c r="F2104" s="2">
        <v>326637.06</v>
      </c>
      <c r="G2104" s="2">
        <v>85127.24</v>
      </c>
    </row>
    <row r="2105" spans="1:7" x14ac:dyDescent="0.25">
      <c r="A2105" s="1">
        <v>45108</v>
      </c>
      <c r="B2105" t="s">
        <v>15</v>
      </c>
      <c r="C2105" t="s">
        <v>60</v>
      </c>
      <c r="D2105" s="2">
        <v>123097.35</v>
      </c>
      <c r="E2105" s="2">
        <v>3348742.61</v>
      </c>
      <c r="F2105" s="2">
        <v>3845885.63</v>
      </c>
      <c r="G2105" s="2">
        <v>136904.70000000001</v>
      </c>
    </row>
    <row r="2106" spans="1:7" x14ac:dyDescent="0.25">
      <c r="A2106" s="1">
        <v>45108</v>
      </c>
      <c r="B2106" t="s">
        <v>7</v>
      </c>
      <c r="C2106" t="s">
        <v>58</v>
      </c>
      <c r="D2106" s="2">
        <v>279267317.77999997</v>
      </c>
      <c r="E2106" s="2">
        <v>506333215.20999998</v>
      </c>
      <c r="F2106" s="2">
        <v>506434714.75999999</v>
      </c>
      <c r="G2106" s="2">
        <v>1978526.66</v>
      </c>
    </row>
    <row r="2107" spans="1:7" x14ac:dyDescent="0.25">
      <c r="A2107" s="1">
        <v>45108</v>
      </c>
      <c r="B2107" t="s">
        <v>69</v>
      </c>
      <c r="C2107" t="s">
        <v>122</v>
      </c>
      <c r="D2107" s="2">
        <v>170518685.63</v>
      </c>
      <c r="E2107" s="2">
        <v>125163652.23</v>
      </c>
      <c r="F2107" s="2">
        <v>84377217.659999996</v>
      </c>
      <c r="G2107" s="2">
        <v>23576322.170000002</v>
      </c>
    </row>
    <row r="2108" spans="1:7" x14ac:dyDescent="0.25">
      <c r="A2108" s="1">
        <v>45108</v>
      </c>
      <c r="B2108" t="s">
        <v>26</v>
      </c>
      <c r="C2108" t="s">
        <v>66</v>
      </c>
      <c r="D2108" s="2">
        <v>7594368.6100000003</v>
      </c>
      <c r="E2108" s="2">
        <v>1421453.24</v>
      </c>
      <c r="F2108" s="2">
        <v>1521983.44</v>
      </c>
      <c r="G2108" s="2">
        <v>739696.21</v>
      </c>
    </row>
    <row r="2109" spans="1:7" x14ac:dyDescent="0.25">
      <c r="A2109" s="1">
        <v>45108</v>
      </c>
      <c r="B2109" t="s">
        <v>69</v>
      </c>
      <c r="C2109" t="s">
        <v>72</v>
      </c>
      <c r="D2109" s="2">
        <v>210368.9</v>
      </c>
      <c r="E2109" s="2">
        <v>5272824.5999999996</v>
      </c>
      <c r="F2109" s="2">
        <v>5351971.96</v>
      </c>
      <c r="G2109">
        <v>0</v>
      </c>
    </row>
    <row r="2110" spans="1:7" x14ac:dyDescent="0.25">
      <c r="A2110" s="1">
        <v>45108</v>
      </c>
      <c r="B2110" t="s">
        <v>23</v>
      </c>
      <c r="C2110" t="s">
        <v>78</v>
      </c>
      <c r="D2110" s="2">
        <v>4495529506.3000002</v>
      </c>
      <c r="E2110" s="2">
        <v>3655346006.8699999</v>
      </c>
      <c r="F2110" s="2">
        <v>3605748032.9400001</v>
      </c>
      <c r="G2110" s="2">
        <v>175300994.16</v>
      </c>
    </row>
    <row r="2111" spans="1:7" x14ac:dyDescent="0.25">
      <c r="A2111" s="1">
        <v>45108</v>
      </c>
      <c r="B2111" t="s">
        <v>7</v>
      </c>
      <c r="C2111" t="s">
        <v>57</v>
      </c>
      <c r="D2111" s="2">
        <v>148385859</v>
      </c>
      <c r="E2111" s="2">
        <v>92679086.480000004</v>
      </c>
      <c r="F2111" s="2">
        <v>106863601.38</v>
      </c>
      <c r="G2111" s="2">
        <v>2562380.62</v>
      </c>
    </row>
    <row r="2112" spans="1:7" x14ac:dyDescent="0.25">
      <c r="A2112" s="1">
        <v>45108</v>
      </c>
      <c r="B2112" t="s">
        <v>33</v>
      </c>
      <c r="C2112" t="s">
        <v>12</v>
      </c>
      <c r="D2112" s="2">
        <v>1117792.1299999999</v>
      </c>
      <c r="E2112" s="2">
        <v>654648.73</v>
      </c>
      <c r="F2112" s="2">
        <v>627279.74</v>
      </c>
      <c r="G2112" s="2">
        <v>48580.22</v>
      </c>
    </row>
    <row r="2113" spans="1:7" x14ac:dyDescent="0.25">
      <c r="A2113" s="1">
        <v>45108</v>
      </c>
      <c r="B2113" t="s">
        <v>13</v>
      </c>
      <c r="C2113" t="s">
        <v>34</v>
      </c>
      <c r="D2113" s="2">
        <v>1140954718.4300001</v>
      </c>
      <c r="E2113" s="2">
        <v>327116699</v>
      </c>
      <c r="F2113" s="2">
        <v>318445576.66000003</v>
      </c>
      <c r="G2113" s="2">
        <v>44352434.219999999</v>
      </c>
    </row>
    <row r="2114" spans="1:7" x14ac:dyDescent="0.25">
      <c r="A2114" s="1">
        <v>45108</v>
      </c>
      <c r="B2114" t="s">
        <v>17</v>
      </c>
      <c r="C2114" t="s">
        <v>72</v>
      </c>
      <c r="D2114" s="2">
        <v>-33528.33</v>
      </c>
      <c r="E2114" s="2">
        <v>15745091.5</v>
      </c>
      <c r="F2114" s="2">
        <v>8646534.1099999994</v>
      </c>
      <c r="G2114">
        <v>0</v>
      </c>
    </row>
    <row r="2115" spans="1:7" x14ac:dyDescent="0.25">
      <c r="A2115" s="1">
        <v>45108</v>
      </c>
      <c r="B2115" t="s">
        <v>33</v>
      </c>
      <c r="C2115" t="s">
        <v>66</v>
      </c>
      <c r="D2115" s="2">
        <v>10922055.210000001</v>
      </c>
      <c r="E2115" s="2">
        <v>4042864.19</v>
      </c>
      <c r="F2115" s="2">
        <v>3373233.51</v>
      </c>
      <c r="G2115" s="2">
        <v>2571420.36</v>
      </c>
    </row>
    <row r="2116" spans="1:7" x14ac:dyDescent="0.25">
      <c r="A2116" s="1">
        <v>45108</v>
      </c>
      <c r="B2116" t="s">
        <v>69</v>
      </c>
      <c r="C2116" t="s">
        <v>75</v>
      </c>
      <c r="D2116" s="2">
        <v>34511796.670000002</v>
      </c>
      <c r="E2116" s="2">
        <v>21658642.899999999</v>
      </c>
      <c r="F2116" s="2">
        <v>17627635.920000002</v>
      </c>
      <c r="G2116" s="2">
        <v>7373482.9199999999</v>
      </c>
    </row>
    <row r="2117" spans="1:7" x14ac:dyDescent="0.25">
      <c r="A2117" s="1">
        <v>45108</v>
      </c>
      <c r="B2117" t="s">
        <v>47</v>
      </c>
      <c r="C2117" t="s">
        <v>75</v>
      </c>
      <c r="D2117" s="2">
        <v>2141794.06</v>
      </c>
      <c r="E2117" s="2">
        <v>2385582.8199999998</v>
      </c>
      <c r="F2117" s="2">
        <v>2329536.6800000002</v>
      </c>
      <c r="G2117" s="2">
        <v>57189.96</v>
      </c>
    </row>
    <row r="2118" spans="1:7" x14ac:dyDescent="0.25">
      <c r="A2118" s="1">
        <v>45108</v>
      </c>
      <c r="B2118" t="s">
        <v>54</v>
      </c>
      <c r="C2118" t="s">
        <v>116</v>
      </c>
      <c r="D2118" s="2">
        <v>678578511.41999996</v>
      </c>
      <c r="E2118" s="2">
        <v>416443362.43000001</v>
      </c>
      <c r="F2118" s="2">
        <v>416314378.10000002</v>
      </c>
      <c r="G2118" s="2">
        <v>44054529.350000001</v>
      </c>
    </row>
    <row r="2119" spans="1:7" x14ac:dyDescent="0.25">
      <c r="A2119" s="1">
        <v>45108</v>
      </c>
      <c r="B2119" t="s">
        <v>13</v>
      </c>
      <c r="C2119" t="s">
        <v>103</v>
      </c>
      <c r="D2119" s="2">
        <v>170114707.75999999</v>
      </c>
      <c r="E2119" s="2">
        <v>222966372.84</v>
      </c>
      <c r="F2119" s="2">
        <v>225020575.90000001</v>
      </c>
      <c r="G2119" s="2">
        <v>21350619.510000002</v>
      </c>
    </row>
    <row r="2120" spans="1:7" x14ac:dyDescent="0.25">
      <c r="A2120" s="1">
        <v>45108</v>
      </c>
      <c r="B2120" t="s">
        <v>47</v>
      </c>
      <c r="C2120" t="s">
        <v>57</v>
      </c>
      <c r="D2120" s="2">
        <v>17018952.870000001</v>
      </c>
      <c r="E2120" s="2">
        <v>55022262.18</v>
      </c>
      <c r="F2120" s="2">
        <v>60820671.229999997</v>
      </c>
      <c r="G2120" s="2">
        <v>1179849.2</v>
      </c>
    </row>
    <row r="2121" spans="1:7" x14ac:dyDescent="0.25">
      <c r="A2121" s="1">
        <v>45108</v>
      </c>
      <c r="B2121" t="s">
        <v>52</v>
      </c>
      <c r="C2121" t="s">
        <v>72</v>
      </c>
      <c r="D2121" s="2">
        <v>8081485.5700000003</v>
      </c>
      <c r="E2121" s="2">
        <v>7821380.3099999996</v>
      </c>
      <c r="F2121" s="2">
        <v>7829716.8499999996</v>
      </c>
      <c r="G2121">
        <v>0</v>
      </c>
    </row>
    <row r="2122" spans="1:7" x14ac:dyDescent="0.25">
      <c r="A2122" s="1">
        <v>45108</v>
      </c>
      <c r="B2122" t="s">
        <v>9</v>
      </c>
      <c r="C2122" t="s">
        <v>57</v>
      </c>
      <c r="D2122" s="2">
        <v>284498369.20999998</v>
      </c>
      <c r="E2122" s="2">
        <v>650787364.54999995</v>
      </c>
      <c r="F2122" s="2">
        <v>764424871.82000005</v>
      </c>
      <c r="G2122" s="2">
        <v>4158224.2</v>
      </c>
    </row>
    <row r="2123" spans="1:7" x14ac:dyDescent="0.25">
      <c r="A2123" s="1">
        <v>45108</v>
      </c>
      <c r="B2123" t="s">
        <v>54</v>
      </c>
      <c r="C2123" t="s">
        <v>78</v>
      </c>
      <c r="D2123" s="2">
        <v>3327876.98</v>
      </c>
      <c r="E2123" s="2">
        <v>2000702.65</v>
      </c>
      <c r="F2123" s="2">
        <v>90338.95</v>
      </c>
      <c r="G2123" s="2">
        <v>32392728.199999999</v>
      </c>
    </row>
    <row r="2124" spans="1:7" x14ac:dyDescent="0.25">
      <c r="A2124" s="1">
        <v>45108</v>
      </c>
      <c r="B2124" t="s">
        <v>13</v>
      </c>
      <c r="C2124" t="s">
        <v>57</v>
      </c>
      <c r="D2124" s="2">
        <v>62829159.32</v>
      </c>
      <c r="E2124" s="2">
        <v>126894583.14</v>
      </c>
      <c r="F2124" s="2">
        <v>143087696.28999999</v>
      </c>
      <c r="G2124" s="2">
        <v>4477034.54</v>
      </c>
    </row>
    <row r="2125" spans="1:7" x14ac:dyDescent="0.25">
      <c r="A2125" s="1">
        <v>45108</v>
      </c>
      <c r="B2125" t="s">
        <v>91</v>
      </c>
      <c r="C2125" t="s">
        <v>114</v>
      </c>
      <c r="D2125" s="2">
        <v>891817170.89999998</v>
      </c>
      <c r="E2125" s="2">
        <v>1008313435.64</v>
      </c>
      <c r="F2125" s="2">
        <v>967067211.13</v>
      </c>
      <c r="G2125" s="2">
        <v>271118013.23000002</v>
      </c>
    </row>
    <row r="2126" spans="1:7" x14ac:dyDescent="0.25">
      <c r="A2126" s="1">
        <v>45108</v>
      </c>
      <c r="B2126" t="s">
        <v>17</v>
      </c>
      <c r="C2126" t="s">
        <v>103</v>
      </c>
      <c r="D2126" s="2">
        <v>6288783.5800000001</v>
      </c>
      <c r="E2126" s="2">
        <v>15752468.75</v>
      </c>
      <c r="F2126" s="2">
        <v>17297405.449999999</v>
      </c>
      <c r="G2126" s="2">
        <v>5736763.3700000001</v>
      </c>
    </row>
    <row r="2127" spans="1:7" x14ac:dyDescent="0.25">
      <c r="A2127" s="1">
        <v>45108</v>
      </c>
      <c r="B2127" t="s">
        <v>23</v>
      </c>
      <c r="C2127" t="s">
        <v>117</v>
      </c>
      <c r="D2127" s="2">
        <v>301238910.00999999</v>
      </c>
      <c r="E2127" s="2">
        <v>249760750.97999999</v>
      </c>
      <c r="F2127" s="2">
        <v>247211006.62</v>
      </c>
      <c r="G2127" s="2">
        <v>2735021.9</v>
      </c>
    </row>
    <row r="2128" spans="1:7" x14ac:dyDescent="0.25">
      <c r="A2128" s="1">
        <v>45108</v>
      </c>
      <c r="B2128" t="s">
        <v>43</v>
      </c>
      <c r="C2128" t="s">
        <v>127</v>
      </c>
      <c r="D2128" s="2">
        <v>2018533.05</v>
      </c>
      <c r="E2128" s="2">
        <v>1608953.28</v>
      </c>
      <c r="F2128" s="2">
        <v>2488126.2599999998</v>
      </c>
      <c r="G2128" s="2">
        <v>450233.08</v>
      </c>
    </row>
    <row r="2129" spans="1:7" x14ac:dyDescent="0.25">
      <c r="A2129" s="1">
        <v>45108</v>
      </c>
      <c r="B2129" t="s">
        <v>54</v>
      </c>
      <c r="C2129" t="s">
        <v>68</v>
      </c>
      <c r="D2129" s="2">
        <v>4431348.74</v>
      </c>
      <c r="E2129" s="2">
        <v>3308569.51</v>
      </c>
      <c r="F2129" s="2">
        <v>2749933.76</v>
      </c>
      <c r="G2129" s="2">
        <v>1361659.9</v>
      </c>
    </row>
    <row r="2130" spans="1:7" x14ac:dyDescent="0.25">
      <c r="A2130" s="1">
        <v>45108</v>
      </c>
      <c r="B2130" t="s">
        <v>11</v>
      </c>
      <c r="C2130" t="s">
        <v>72</v>
      </c>
      <c r="D2130" s="2">
        <v>57537449.100000001</v>
      </c>
      <c r="E2130" s="2">
        <v>55928974.780000001</v>
      </c>
      <c r="F2130" s="2">
        <v>55961322.299999997</v>
      </c>
      <c r="G2130">
        <v>0</v>
      </c>
    </row>
    <row r="2131" spans="1:7" x14ac:dyDescent="0.25">
      <c r="A2131" s="1">
        <v>45108</v>
      </c>
      <c r="B2131" t="s">
        <v>27</v>
      </c>
      <c r="C2131" t="s">
        <v>99</v>
      </c>
      <c r="D2131" s="2">
        <v>25085648.59</v>
      </c>
      <c r="E2131" s="2">
        <v>34183504.100000001</v>
      </c>
      <c r="F2131" s="2">
        <v>33126617.379999999</v>
      </c>
      <c r="G2131" s="2">
        <v>788206.67</v>
      </c>
    </row>
    <row r="2132" spans="1:7" x14ac:dyDescent="0.25">
      <c r="A2132" s="1">
        <v>45108</v>
      </c>
      <c r="B2132" t="s">
        <v>65</v>
      </c>
      <c r="C2132" t="s">
        <v>57</v>
      </c>
      <c r="D2132" s="2">
        <v>11409972.220000001</v>
      </c>
      <c r="E2132" s="2">
        <v>182883391.03999999</v>
      </c>
      <c r="F2132" s="2">
        <v>230455001.63</v>
      </c>
      <c r="G2132" s="2">
        <v>782505.08</v>
      </c>
    </row>
    <row r="2133" spans="1:7" x14ac:dyDescent="0.25">
      <c r="A2133" s="1">
        <v>45108</v>
      </c>
      <c r="B2133" t="s">
        <v>17</v>
      </c>
      <c r="C2133" t="s">
        <v>93</v>
      </c>
      <c r="D2133" s="2">
        <v>2788495.87</v>
      </c>
      <c r="E2133" s="2">
        <v>2981685.65</v>
      </c>
      <c r="F2133" s="2">
        <v>2284097.13</v>
      </c>
      <c r="G2133" s="2">
        <v>915848.12</v>
      </c>
    </row>
    <row r="2134" spans="1:7" x14ac:dyDescent="0.25">
      <c r="A2134" s="1">
        <v>45108</v>
      </c>
      <c r="B2134" t="s">
        <v>23</v>
      </c>
      <c r="C2134" t="s">
        <v>57</v>
      </c>
      <c r="D2134" s="2">
        <v>240062133.71000001</v>
      </c>
      <c r="E2134" s="2">
        <v>609309478.42999995</v>
      </c>
      <c r="F2134" s="2">
        <v>758126640.57000005</v>
      </c>
      <c r="G2134" s="2">
        <v>7974186.71</v>
      </c>
    </row>
    <row r="2135" spans="1:7" x14ac:dyDescent="0.25">
      <c r="A2135" s="1">
        <v>45108</v>
      </c>
      <c r="B2135" t="s">
        <v>91</v>
      </c>
      <c r="C2135" t="s">
        <v>57</v>
      </c>
      <c r="D2135" s="2">
        <v>240010941.40000001</v>
      </c>
      <c r="E2135" s="2">
        <v>154842869.74000001</v>
      </c>
      <c r="F2135" s="2">
        <v>181480286.84999999</v>
      </c>
      <c r="G2135" s="2">
        <v>5193157.78</v>
      </c>
    </row>
    <row r="2136" spans="1:7" x14ac:dyDescent="0.25">
      <c r="A2136" s="1">
        <v>45108</v>
      </c>
      <c r="B2136" t="s">
        <v>33</v>
      </c>
      <c r="C2136" t="s">
        <v>79</v>
      </c>
      <c r="D2136" s="2">
        <v>7558467.1699999999</v>
      </c>
      <c r="E2136" s="2">
        <v>20507592.969999999</v>
      </c>
      <c r="F2136" s="2">
        <v>30334689.079999998</v>
      </c>
      <c r="G2136" s="2">
        <v>10050575.75</v>
      </c>
    </row>
    <row r="2137" spans="1:7" x14ac:dyDescent="0.25">
      <c r="A2137" s="1">
        <v>45108</v>
      </c>
      <c r="B2137" t="s">
        <v>31</v>
      </c>
      <c r="C2137" t="s">
        <v>22</v>
      </c>
      <c r="D2137" s="2">
        <v>1607778822.0599999</v>
      </c>
      <c r="E2137" s="2">
        <v>3763199481.0599999</v>
      </c>
      <c r="F2137" s="2">
        <v>3815170341.0100002</v>
      </c>
      <c r="G2137" s="2">
        <v>105389114.93000001</v>
      </c>
    </row>
    <row r="2138" spans="1:7" x14ac:dyDescent="0.25">
      <c r="A2138" s="1">
        <v>45108</v>
      </c>
      <c r="B2138" t="s">
        <v>11</v>
      </c>
      <c r="C2138" t="s">
        <v>107</v>
      </c>
      <c r="D2138" s="2">
        <v>2440420.9500000002</v>
      </c>
      <c r="E2138" s="2">
        <v>3483252</v>
      </c>
      <c r="F2138" s="2">
        <v>3476683.15</v>
      </c>
      <c r="G2138" s="2">
        <v>424385.39</v>
      </c>
    </row>
    <row r="2139" spans="1:7" x14ac:dyDescent="0.25">
      <c r="A2139" s="1">
        <v>45108</v>
      </c>
      <c r="B2139" t="s">
        <v>7</v>
      </c>
      <c r="C2139" t="s">
        <v>12</v>
      </c>
      <c r="D2139" s="2">
        <v>4996754.93</v>
      </c>
      <c r="E2139" s="2">
        <v>3396786.14</v>
      </c>
      <c r="F2139" s="2">
        <v>3011538.48</v>
      </c>
      <c r="G2139" s="2">
        <v>1027018.86</v>
      </c>
    </row>
    <row r="2140" spans="1:7" x14ac:dyDescent="0.25">
      <c r="A2140" s="1">
        <v>45108</v>
      </c>
      <c r="B2140" t="s">
        <v>43</v>
      </c>
      <c r="C2140" t="s">
        <v>72</v>
      </c>
      <c r="D2140" s="2">
        <v>2029815.26</v>
      </c>
      <c r="E2140" s="2">
        <v>5079199.09</v>
      </c>
      <c r="F2140" s="2">
        <v>6326421.1200000001</v>
      </c>
      <c r="G2140">
        <v>0</v>
      </c>
    </row>
    <row r="2141" spans="1:7" x14ac:dyDescent="0.25">
      <c r="A2141" s="1">
        <v>45108</v>
      </c>
      <c r="B2141" t="s">
        <v>37</v>
      </c>
      <c r="C2141" t="s">
        <v>117</v>
      </c>
      <c r="D2141" s="2">
        <v>4079686.84</v>
      </c>
      <c r="E2141" s="2">
        <v>2474013.7599999998</v>
      </c>
      <c r="F2141" s="2">
        <v>2168357.48</v>
      </c>
      <c r="G2141" s="2">
        <v>429378.44</v>
      </c>
    </row>
    <row r="2142" spans="1:7" x14ac:dyDescent="0.25">
      <c r="A2142" s="1">
        <v>45108</v>
      </c>
      <c r="B2142" t="s">
        <v>54</v>
      </c>
      <c r="C2142" t="s">
        <v>120</v>
      </c>
      <c r="D2142" s="2">
        <v>86978260.709999993</v>
      </c>
      <c r="E2142" s="2">
        <v>218646171.03999999</v>
      </c>
      <c r="F2142" s="2">
        <v>215472565.00999999</v>
      </c>
      <c r="G2142" s="2">
        <v>9538949.8599999994</v>
      </c>
    </row>
    <row r="2143" spans="1:7" x14ac:dyDescent="0.25">
      <c r="A2143" s="1">
        <v>45108</v>
      </c>
      <c r="B2143" t="s">
        <v>37</v>
      </c>
      <c r="C2143" t="s">
        <v>57</v>
      </c>
      <c r="D2143" s="2">
        <v>8533298.0299999993</v>
      </c>
      <c r="E2143" s="2">
        <v>31164151.329999998</v>
      </c>
      <c r="F2143" s="2">
        <v>34824873.590000004</v>
      </c>
      <c r="G2143" s="2">
        <v>518750.05</v>
      </c>
    </row>
    <row r="2144" spans="1:7" x14ac:dyDescent="0.25">
      <c r="A2144" s="1">
        <v>45108</v>
      </c>
      <c r="B2144" t="s">
        <v>9</v>
      </c>
      <c r="C2144" t="s">
        <v>128</v>
      </c>
      <c r="D2144" s="2">
        <v>375292457.72000003</v>
      </c>
      <c r="E2144" s="2">
        <v>116664645.72</v>
      </c>
      <c r="F2144" s="2">
        <v>110815103.86</v>
      </c>
      <c r="G2144" s="2">
        <v>79469365.680000007</v>
      </c>
    </row>
    <row r="2145" spans="1:7" x14ac:dyDescent="0.25">
      <c r="A2145" s="1">
        <v>45108</v>
      </c>
      <c r="B2145" t="s">
        <v>26</v>
      </c>
      <c r="C2145" t="s">
        <v>57</v>
      </c>
      <c r="D2145" s="2">
        <v>92640749.019999996</v>
      </c>
      <c r="E2145" s="2">
        <v>94481366.150000006</v>
      </c>
      <c r="F2145" s="2">
        <v>223717059.37</v>
      </c>
      <c r="G2145" s="2">
        <v>1806821.24</v>
      </c>
    </row>
    <row r="2146" spans="1:7" x14ac:dyDescent="0.25">
      <c r="A2146" s="1">
        <v>45108</v>
      </c>
      <c r="B2146" t="s">
        <v>65</v>
      </c>
      <c r="C2146" t="s">
        <v>72</v>
      </c>
      <c r="D2146" s="2">
        <v>8444840341.4499998</v>
      </c>
      <c r="E2146" s="2">
        <v>8453409127.1899996</v>
      </c>
      <c r="F2146" s="2">
        <v>8453375004.0299997</v>
      </c>
      <c r="G2146" s="2">
        <v>33822537</v>
      </c>
    </row>
    <row r="2147" spans="1:7" x14ac:dyDescent="0.25">
      <c r="A2147" s="1">
        <v>45108</v>
      </c>
      <c r="B2147" t="s">
        <v>26</v>
      </c>
      <c r="C2147" t="s">
        <v>72</v>
      </c>
      <c r="D2147" s="2">
        <v>3133722.47</v>
      </c>
      <c r="E2147" s="2">
        <v>10696973.449999999</v>
      </c>
      <c r="F2147" s="2">
        <v>11144472.08</v>
      </c>
      <c r="G2147">
        <v>0</v>
      </c>
    </row>
    <row r="2148" spans="1:7" x14ac:dyDescent="0.25">
      <c r="A2148" s="1">
        <v>45108</v>
      </c>
      <c r="B2148" t="s">
        <v>7</v>
      </c>
      <c r="C2148" t="s">
        <v>95</v>
      </c>
      <c r="D2148" s="2">
        <v>1184934040.1400001</v>
      </c>
      <c r="E2148" s="2">
        <v>246678380.77000001</v>
      </c>
      <c r="F2148" s="2">
        <v>260234168.94999999</v>
      </c>
      <c r="G2148" s="2">
        <v>47517182.020000003</v>
      </c>
    </row>
    <row r="2149" spans="1:7" x14ac:dyDescent="0.25">
      <c r="A2149" s="1">
        <v>45108</v>
      </c>
      <c r="B2149" t="s">
        <v>23</v>
      </c>
      <c r="C2149" t="s">
        <v>102</v>
      </c>
      <c r="D2149" s="2">
        <v>8320427722.1499996</v>
      </c>
      <c r="E2149" s="2">
        <v>5587043253.5500002</v>
      </c>
      <c r="F2149" s="2">
        <v>5570351484.6899996</v>
      </c>
      <c r="G2149" s="2">
        <v>218669153.46000001</v>
      </c>
    </row>
    <row r="2150" spans="1:7" x14ac:dyDescent="0.25">
      <c r="A2150" s="1">
        <v>45108</v>
      </c>
      <c r="B2150" t="s">
        <v>54</v>
      </c>
      <c r="C2150" t="s">
        <v>12</v>
      </c>
      <c r="D2150" s="2">
        <v>18414403.079999998</v>
      </c>
      <c r="E2150" s="2">
        <v>12693831.93</v>
      </c>
      <c r="F2150" s="2">
        <v>13092751.07</v>
      </c>
      <c r="G2150" s="2">
        <v>1419220.1</v>
      </c>
    </row>
    <row r="2151" spans="1:7" x14ac:dyDescent="0.25">
      <c r="A2151" s="1">
        <v>45108</v>
      </c>
      <c r="B2151" t="s">
        <v>11</v>
      </c>
      <c r="C2151" t="s">
        <v>50</v>
      </c>
      <c r="D2151" s="2">
        <v>35328374.409999996</v>
      </c>
      <c r="E2151" s="2">
        <v>63402005.18</v>
      </c>
      <c r="F2151" s="2">
        <v>64485240.469999999</v>
      </c>
      <c r="G2151" s="2">
        <v>434169.21</v>
      </c>
    </row>
    <row r="2152" spans="1:7" x14ac:dyDescent="0.25">
      <c r="A2152" s="1">
        <v>45108</v>
      </c>
      <c r="B2152" t="s">
        <v>54</v>
      </c>
      <c r="C2152" t="s">
        <v>95</v>
      </c>
      <c r="D2152" s="2">
        <v>2025561.74</v>
      </c>
      <c r="E2152" s="2">
        <v>3497456.77</v>
      </c>
      <c r="F2152" s="2">
        <v>2701754.35</v>
      </c>
      <c r="G2152" s="2">
        <v>188491.82</v>
      </c>
    </row>
    <row r="2153" spans="1:7" x14ac:dyDescent="0.25">
      <c r="A2153" s="1">
        <v>45108</v>
      </c>
      <c r="B2153" t="s">
        <v>33</v>
      </c>
      <c r="C2153" t="s">
        <v>90</v>
      </c>
      <c r="D2153" s="2">
        <v>2719238.57</v>
      </c>
      <c r="E2153" s="2">
        <v>7995743.7199999997</v>
      </c>
      <c r="F2153" s="2">
        <v>6353228.1799999997</v>
      </c>
      <c r="G2153" s="2">
        <v>5498355.2300000004</v>
      </c>
    </row>
    <row r="2154" spans="1:7" x14ac:dyDescent="0.25">
      <c r="A2154" s="1">
        <v>45108</v>
      </c>
      <c r="B2154" t="s">
        <v>54</v>
      </c>
      <c r="C2154" t="s">
        <v>75</v>
      </c>
      <c r="D2154" s="2">
        <v>26823457.640000001</v>
      </c>
      <c r="E2154" s="2">
        <v>14957415.210000001</v>
      </c>
      <c r="F2154" s="2">
        <v>14527589.449999999</v>
      </c>
      <c r="G2154" s="2">
        <v>2523541.34</v>
      </c>
    </row>
    <row r="2155" spans="1:7" x14ac:dyDescent="0.25">
      <c r="A2155" s="1">
        <v>45108</v>
      </c>
      <c r="B2155" t="s">
        <v>9</v>
      </c>
      <c r="C2155" t="s">
        <v>112</v>
      </c>
      <c r="D2155" s="2">
        <v>215939860.53</v>
      </c>
      <c r="E2155" s="2">
        <v>137436923.22</v>
      </c>
      <c r="F2155" s="2">
        <v>103015581.86</v>
      </c>
      <c r="G2155" s="2">
        <v>7942829.1600000001</v>
      </c>
    </row>
    <row r="2156" spans="1:7" x14ac:dyDescent="0.25">
      <c r="A2156" s="1">
        <v>45108</v>
      </c>
      <c r="B2156" t="s">
        <v>17</v>
      </c>
      <c r="C2156" t="s">
        <v>57</v>
      </c>
      <c r="D2156" s="2">
        <v>20558962.010000002</v>
      </c>
      <c r="E2156" s="2">
        <v>357980506.81999999</v>
      </c>
      <c r="F2156" s="2">
        <v>475014205.24000001</v>
      </c>
      <c r="G2156" s="2">
        <v>997581.47</v>
      </c>
    </row>
    <row r="2157" spans="1:7" x14ac:dyDescent="0.25">
      <c r="A2157" s="1">
        <v>45108</v>
      </c>
      <c r="B2157" t="s">
        <v>54</v>
      </c>
      <c r="C2157" t="s">
        <v>103</v>
      </c>
      <c r="D2157" s="2">
        <v>-22786131.16</v>
      </c>
      <c r="E2157" s="2">
        <v>25472249.989999998</v>
      </c>
      <c r="F2157" s="2">
        <v>38534211.57</v>
      </c>
      <c r="G2157" s="2">
        <v>1857585.73</v>
      </c>
    </row>
    <row r="2158" spans="1:7" x14ac:dyDescent="0.25">
      <c r="A2158" s="1">
        <v>45108</v>
      </c>
      <c r="B2158" t="s">
        <v>23</v>
      </c>
      <c r="C2158" t="s">
        <v>34</v>
      </c>
      <c r="D2158" s="2">
        <v>61377371.619999997</v>
      </c>
      <c r="E2158" s="2">
        <v>103991433.09999999</v>
      </c>
      <c r="F2158" s="2">
        <v>99043114.430000007</v>
      </c>
      <c r="G2158" s="2">
        <v>19253354.120000001</v>
      </c>
    </row>
    <row r="2159" spans="1:7" x14ac:dyDescent="0.25">
      <c r="A2159" s="1">
        <v>45108</v>
      </c>
      <c r="B2159" t="s">
        <v>17</v>
      </c>
      <c r="C2159" t="s">
        <v>39</v>
      </c>
      <c r="D2159" s="2">
        <v>4516614.99</v>
      </c>
      <c r="E2159" s="2">
        <v>2482484.42</v>
      </c>
      <c r="F2159" s="2">
        <v>2471883.25</v>
      </c>
      <c r="G2159" s="2">
        <v>-4159.41</v>
      </c>
    </row>
    <row r="2160" spans="1:7" x14ac:dyDescent="0.25">
      <c r="A2160" s="1">
        <v>45108</v>
      </c>
      <c r="B2160" t="s">
        <v>31</v>
      </c>
      <c r="C2160" t="s">
        <v>29</v>
      </c>
      <c r="D2160" s="2">
        <v>9787444896.7199993</v>
      </c>
      <c r="E2160" s="2">
        <v>31651358752.919998</v>
      </c>
      <c r="F2160" s="2">
        <v>32021026292.369999</v>
      </c>
      <c r="G2160" s="2">
        <v>2964247652.3299999</v>
      </c>
    </row>
    <row r="2161" spans="1:7" x14ac:dyDescent="0.25">
      <c r="A2161" s="1">
        <v>45108</v>
      </c>
      <c r="B2161" t="s">
        <v>54</v>
      </c>
      <c r="C2161" t="s">
        <v>129</v>
      </c>
      <c r="D2161" s="2">
        <v>268634056.81999999</v>
      </c>
      <c r="E2161" s="2">
        <v>113183610.14</v>
      </c>
      <c r="F2161" s="2">
        <v>119352940.23</v>
      </c>
      <c r="G2161" s="2">
        <v>253990711.69999999</v>
      </c>
    </row>
    <row r="2162" spans="1:7" x14ac:dyDescent="0.25">
      <c r="A2162" s="1">
        <v>45108</v>
      </c>
      <c r="B2162" t="s">
        <v>33</v>
      </c>
      <c r="C2162" t="s">
        <v>57</v>
      </c>
      <c r="D2162" s="2">
        <v>866443106.37</v>
      </c>
      <c r="E2162" s="2">
        <v>1621935274.3699999</v>
      </c>
      <c r="F2162" s="2">
        <v>1960294480.1700001</v>
      </c>
      <c r="G2162" s="2">
        <v>56456119.719999999</v>
      </c>
    </row>
    <row r="2163" spans="1:7" x14ac:dyDescent="0.25">
      <c r="A2163" s="1">
        <v>45108</v>
      </c>
      <c r="B2163" t="s">
        <v>28</v>
      </c>
      <c r="C2163" t="s">
        <v>124</v>
      </c>
      <c r="D2163" s="2">
        <v>148735767466.48001</v>
      </c>
      <c r="E2163" s="2">
        <v>65263287336.839996</v>
      </c>
      <c r="F2163" s="2">
        <v>89008177212.529999</v>
      </c>
      <c r="G2163" s="2">
        <v>384402.52</v>
      </c>
    </row>
    <row r="2164" spans="1:7" x14ac:dyDescent="0.25">
      <c r="A2164" s="1">
        <v>45108</v>
      </c>
      <c r="B2164" t="s">
        <v>7</v>
      </c>
      <c r="C2164" t="s">
        <v>102</v>
      </c>
      <c r="D2164" s="2">
        <v>220403534.19999999</v>
      </c>
      <c r="E2164" s="2">
        <v>899234199.38</v>
      </c>
      <c r="F2164" s="2">
        <v>1158353636.73</v>
      </c>
      <c r="G2164" s="2">
        <v>17497017.960000001</v>
      </c>
    </row>
    <row r="2165" spans="1:7" x14ac:dyDescent="0.25">
      <c r="A2165" s="1">
        <v>45108</v>
      </c>
      <c r="B2165" t="s">
        <v>17</v>
      </c>
      <c r="C2165" t="s">
        <v>40</v>
      </c>
      <c r="D2165" s="2">
        <v>6927702862.04</v>
      </c>
      <c r="E2165" s="2">
        <v>1331098735.4100001</v>
      </c>
      <c r="F2165" s="2">
        <v>1299565373.1800001</v>
      </c>
      <c r="G2165" s="2">
        <v>34538280.490000002</v>
      </c>
    </row>
    <row r="2166" spans="1:7" x14ac:dyDescent="0.25">
      <c r="A2166" s="1">
        <v>45108</v>
      </c>
      <c r="B2166" t="s">
        <v>7</v>
      </c>
      <c r="C2166" t="s">
        <v>100</v>
      </c>
      <c r="D2166" s="2">
        <v>1515168246.8900001</v>
      </c>
      <c r="E2166" s="2">
        <v>3069372558.2600002</v>
      </c>
      <c r="F2166" s="2">
        <v>3663309022.52</v>
      </c>
      <c r="G2166" s="2">
        <v>101692537.01000001</v>
      </c>
    </row>
    <row r="2167" spans="1:7" x14ac:dyDescent="0.25">
      <c r="A2167" s="1">
        <v>45108</v>
      </c>
      <c r="B2167" t="s">
        <v>54</v>
      </c>
      <c r="C2167" t="s">
        <v>57</v>
      </c>
      <c r="D2167" s="2">
        <v>1272182584.8099999</v>
      </c>
      <c r="E2167" s="2">
        <v>5097487839.6300001</v>
      </c>
      <c r="F2167" s="2">
        <v>7101140067.2600002</v>
      </c>
      <c r="G2167" s="2">
        <v>29785270.670000002</v>
      </c>
    </row>
    <row r="2168" spans="1:7" x14ac:dyDescent="0.25">
      <c r="A2168" s="1">
        <v>45108</v>
      </c>
      <c r="B2168" t="s">
        <v>17</v>
      </c>
      <c r="C2168" t="s">
        <v>75</v>
      </c>
      <c r="D2168" s="2">
        <v>7914871.5800000001</v>
      </c>
      <c r="E2168" s="2">
        <v>15454386.49</v>
      </c>
      <c r="F2168" s="2">
        <v>14552232.98</v>
      </c>
      <c r="G2168" s="2">
        <v>1850064.15</v>
      </c>
    </row>
    <row r="2169" spans="1:7" x14ac:dyDescent="0.25">
      <c r="A2169" s="1">
        <v>45108</v>
      </c>
      <c r="B2169" t="s">
        <v>54</v>
      </c>
      <c r="C2169" t="s">
        <v>72</v>
      </c>
      <c r="D2169" s="2">
        <v>499765422.41000003</v>
      </c>
      <c r="E2169" s="2">
        <v>693794439.34000003</v>
      </c>
      <c r="F2169" s="2">
        <v>677584012.07000005</v>
      </c>
      <c r="G2169" s="2">
        <v>16515857.65</v>
      </c>
    </row>
    <row r="2170" spans="1:7" x14ac:dyDescent="0.25">
      <c r="A2170" s="1">
        <v>45108</v>
      </c>
      <c r="B2170" t="s">
        <v>36</v>
      </c>
      <c r="C2170" t="s">
        <v>101</v>
      </c>
      <c r="D2170" s="2">
        <v>71353434281.470001</v>
      </c>
      <c r="E2170" s="2">
        <v>14161914613.49</v>
      </c>
      <c r="F2170" s="2">
        <v>14163917871.84</v>
      </c>
      <c r="G2170" s="2">
        <v>142395686.75</v>
      </c>
    </row>
    <row r="2171" spans="1:7" x14ac:dyDescent="0.25">
      <c r="A2171" s="1">
        <v>45108</v>
      </c>
      <c r="B2171" t="s">
        <v>7</v>
      </c>
      <c r="C2171" t="s">
        <v>68</v>
      </c>
      <c r="D2171" s="2">
        <v>494570319.06</v>
      </c>
      <c r="E2171" s="2">
        <v>1133685353.9400001</v>
      </c>
      <c r="F2171" s="2">
        <v>1363338947.0899999</v>
      </c>
      <c r="G2171" s="2">
        <v>63864241.07</v>
      </c>
    </row>
    <row r="2172" spans="1:7" x14ac:dyDescent="0.25">
      <c r="A2172" s="1">
        <v>45108</v>
      </c>
      <c r="B2172" t="s">
        <v>11</v>
      </c>
      <c r="C2172" t="s">
        <v>57</v>
      </c>
      <c r="D2172" s="2">
        <v>115992214.65000001</v>
      </c>
      <c r="E2172" s="2">
        <v>149345686.44999999</v>
      </c>
      <c r="F2172" s="2">
        <v>157173668.21000001</v>
      </c>
      <c r="G2172" s="2">
        <v>721378.77</v>
      </c>
    </row>
    <row r="2173" spans="1:7" x14ac:dyDescent="0.25">
      <c r="A2173" s="1">
        <v>45139</v>
      </c>
      <c r="B2173" t="s">
        <v>27</v>
      </c>
      <c r="C2173" t="s">
        <v>42</v>
      </c>
      <c r="D2173" s="2">
        <v>-8520.5400000000009</v>
      </c>
      <c r="E2173" s="2">
        <v>43879.46</v>
      </c>
      <c r="F2173" s="2">
        <v>43879.46</v>
      </c>
      <c r="G2173">
        <v>0</v>
      </c>
    </row>
    <row r="2174" spans="1:7" x14ac:dyDescent="0.25">
      <c r="A2174" s="1">
        <v>45139</v>
      </c>
      <c r="B2174" t="s">
        <v>9</v>
      </c>
      <c r="C2174" t="s">
        <v>10</v>
      </c>
      <c r="D2174" s="2">
        <v>161925.17000000001</v>
      </c>
      <c r="E2174" s="2">
        <v>250416.26</v>
      </c>
      <c r="F2174" s="2">
        <v>250416.26</v>
      </c>
      <c r="G2174">
        <v>0</v>
      </c>
    </row>
    <row r="2175" spans="1:7" x14ac:dyDescent="0.25">
      <c r="A2175" s="1">
        <v>45139</v>
      </c>
      <c r="B2175" t="s">
        <v>65</v>
      </c>
      <c r="C2175" t="s">
        <v>133</v>
      </c>
      <c r="D2175" s="2">
        <v>20000</v>
      </c>
      <c r="E2175" s="2">
        <v>159519.97</v>
      </c>
      <c r="F2175" s="2">
        <v>90363.55</v>
      </c>
      <c r="G2175">
        <v>0</v>
      </c>
    </row>
    <row r="2176" spans="1:7" x14ac:dyDescent="0.25">
      <c r="A2176" s="1">
        <v>45139</v>
      </c>
      <c r="B2176" t="s">
        <v>23</v>
      </c>
      <c r="C2176" t="s">
        <v>24</v>
      </c>
      <c r="D2176">
        <v>0</v>
      </c>
      <c r="E2176" s="2">
        <v>487723.4</v>
      </c>
      <c r="F2176" s="2">
        <v>199880.81</v>
      </c>
      <c r="G2176" s="2">
        <v>2000000</v>
      </c>
    </row>
    <row r="2177" spans="1:7" x14ac:dyDescent="0.25">
      <c r="A2177" s="1">
        <v>45139</v>
      </c>
      <c r="B2177" t="s">
        <v>91</v>
      </c>
      <c r="C2177" t="s">
        <v>22</v>
      </c>
      <c r="D2177">
        <v>0</v>
      </c>
      <c r="E2177" s="2">
        <v>41142.31</v>
      </c>
      <c r="F2177" s="2">
        <v>51665.71</v>
      </c>
      <c r="G2177">
        <v>0</v>
      </c>
    </row>
    <row r="2178" spans="1:7" x14ac:dyDescent="0.25">
      <c r="A2178" s="1">
        <v>45139</v>
      </c>
      <c r="B2178" t="s">
        <v>52</v>
      </c>
      <c r="C2178" t="s">
        <v>132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 s="1">
        <v>45139</v>
      </c>
      <c r="B2179" t="s">
        <v>15</v>
      </c>
      <c r="C2179" t="s">
        <v>22</v>
      </c>
      <c r="D2179">
        <v>0</v>
      </c>
      <c r="E2179" s="2">
        <v>201065.60000000001</v>
      </c>
      <c r="F2179" s="2">
        <v>201065.60000000001</v>
      </c>
      <c r="G2179">
        <v>0</v>
      </c>
    </row>
    <row r="2180" spans="1:7" x14ac:dyDescent="0.25">
      <c r="A2180" s="1">
        <v>45139</v>
      </c>
      <c r="B2180" t="s">
        <v>28</v>
      </c>
      <c r="C2180" t="s">
        <v>78</v>
      </c>
      <c r="D2180">
        <v>0</v>
      </c>
      <c r="E2180">
        <v>0</v>
      </c>
      <c r="F2180">
        <v>0</v>
      </c>
      <c r="G2180" s="2">
        <v>9140.42</v>
      </c>
    </row>
    <row r="2181" spans="1:7" x14ac:dyDescent="0.25">
      <c r="A2181" s="1">
        <v>45139</v>
      </c>
      <c r="B2181" t="s">
        <v>45</v>
      </c>
      <c r="C2181" t="s">
        <v>10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 s="1">
        <v>45139</v>
      </c>
      <c r="B2182" t="s">
        <v>23</v>
      </c>
      <c r="C2182" t="s">
        <v>58</v>
      </c>
      <c r="D2182" s="2">
        <v>22149.88</v>
      </c>
      <c r="E2182" s="2">
        <v>22149.88</v>
      </c>
      <c r="F2182" s="2">
        <v>22149.88</v>
      </c>
      <c r="G2182" s="2">
        <v>497280</v>
      </c>
    </row>
    <row r="2183" spans="1:7" x14ac:dyDescent="0.25">
      <c r="A2183" s="1">
        <v>45139</v>
      </c>
      <c r="B2183" t="s">
        <v>33</v>
      </c>
      <c r="C2183" t="s">
        <v>78</v>
      </c>
      <c r="D2183">
        <v>0</v>
      </c>
      <c r="E2183">
        <v>0</v>
      </c>
      <c r="F2183">
        <v>0</v>
      </c>
      <c r="G2183" s="2">
        <v>1651.59</v>
      </c>
    </row>
    <row r="2184" spans="1:7" x14ac:dyDescent="0.25">
      <c r="A2184" s="1">
        <v>45139</v>
      </c>
      <c r="B2184" t="s">
        <v>17</v>
      </c>
      <c r="C2184" t="s">
        <v>50</v>
      </c>
      <c r="D2184" s="2">
        <v>193077.21</v>
      </c>
      <c r="E2184" s="2">
        <v>193077.21</v>
      </c>
      <c r="F2184" s="2">
        <v>193077.21</v>
      </c>
      <c r="G2184">
        <v>0</v>
      </c>
    </row>
    <row r="2185" spans="1:7" x14ac:dyDescent="0.25">
      <c r="A2185" s="1">
        <v>45139</v>
      </c>
      <c r="B2185" t="s">
        <v>27</v>
      </c>
      <c r="C2185" t="s">
        <v>22</v>
      </c>
      <c r="D2185">
        <v>0</v>
      </c>
      <c r="E2185" s="2">
        <v>36156.58</v>
      </c>
      <c r="F2185" s="2">
        <v>36156.58</v>
      </c>
      <c r="G2185">
        <v>0</v>
      </c>
    </row>
    <row r="2186" spans="1:7" x14ac:dyDescent="0.25">
      <c r="A2186" s="1">
        <v>45139</v>
      </c>
      <c r="B2186" t="s">
        <v>17</v>
      </c>
      <c r="C2186" t="s">
        <v>22</v>
      </c>
      <c r="D2186">
        <v>0</v>
      </c>
      <c r="E2186">
        <v>0</v>
      </c>
      <c r="F2186" s="2">
        <v>123059.64</v>
      </c>
      <c r="G2186">
        <v>0</v>
      </c>
    </row>
    <row r="2187" spans="1:7" x14ac:dyDescent="0.25">
      <c r="A2187" s="1">
        <v>45139</v>
      </c>
      <c r="B2187" t="s">
        <v>91</v>
      </c>
      <c r="C2187" t="s">
        <v>16</v>
      </c>
      <c r="D2187" s="2">
        <v>821700</v>
      </c>
      <c r="E2187" s="2">
        <v>3362597.01</v>
      </c>
      <c r="F2187" s="2">
        <v>2018832.78</v>
      </c>
      <c r="G2187">
        <v>0</v>
      </c>
    </row>
    <row r="2188" spans="1:7" x14ac:dyDescent="0.25">
      <c r="A2188" s="1">
        <v>45139</v>
      </c>
      <c r="B2188" t="s">
        <v>43</v>
      </c>
      <c r="C2188" t="s">
        <v>89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 s="1">
        <v>45139</v>
      </c>
      <c r="B2189" t="s">
        <v>15</v>
      </c>
      <c r="C2189" t="s">
        <v>30</v>
      </c>
      <c r="D2189">
        <v>0</v>
      </c>
      <c r="E2189" s="2">
        <v>3612.5</v>
      </c>
      <c r="F2189" s="2">
        <v>3612.5</v>
      </c>
      <c r="G2189">
        <v>0</v>
      </c>
    </row>
    <row r="2190" spans="1:7" x14ac:dyDescent="0.25">
      <c r="A2190" s="1">
        <v>45139</v>
      </c>
      <c r="B2190" t="s">
        <v>17</v>
      </c>
      <c r="C2190" t="s">
        <v>18</v>
      </c>
      <c r="D2190">
        <v>0</v>
      </c>
      <c r="E2190">
        <v>0</v>
      </c>
      <c r="F2190">
        <v>0</v>
      </c>
      <c r="G2190" s="2">
        <v>97367.39</v>
      </c>
    </row>
    <row r="2191" spans="1:7" x14ac:dyDescent="0.25">
      <c r="A2191" s="1">
        <v>45139</v>
      </c>
      <c r="B2191" t="s">
        <v>9</v>
      </c>
      <c r="C2191" t="s">
        <v>78</v>
      </c>
      <c r="D2191">
        <v>0</v>
      </c>
      <c r="E2191">
        <v>0</v>
      </c>
      <c r="F2191">
        <v>0</v>
      </c>
      <c r="G2191" s="2">
        <v>3389.64</v>
      </c>
    </row>
    <row r="2192" spans="1:7" x14ac:dyDescent="0.25">
      <c r="A2192" s="1">
        <v>45139</v>
      </c>
      <c r="B2192" t="s">
        <v>65</v>
      </c>
      <c r="C2192" t="s">
        <v>94</v>
      </c>
      <c r="D2192" s="2">
        <v>70000</v>
      </c>
      <c r="E2192" s="2">
        <v>9223.65</v>
      </c>
      <c r="F2192">
        <v>0</v>
      </c>
      <c r="G2192">
        <v>0</v>
      </c>
    </row>
    <row r="2193" spans="1:7" x14ac:dyDescent="0.25">
      <c r="A2193" s="1">
        <v>45139</v>
      </c>
      <c r="B2193" t="s">
        <v>33</v>
      </c>
      <c r="C2193" t="s">
        <v>34</v>
      </c>
      <c r="D2193">
        <v>0</v>
      </c>
      <c r="E2193" s="2">
        <v>1419623.8</v>
      </c>
      <c r="F2193" s="2">
        <v>1419623.8</v>
      </c>
      <c r="G2193">
        <v>0</v>
      </c>
    </row>
    <row r="2194" spans="1:7" x14ac:dyDescent="0.25">
      <c r="A2194" s="1">
        <v>45139</v>
      </c>
      <c r="B2194" t="s">
        <v>36</v>
      </c>
      <c r="C2194" t="s">
        <v>14</v>
      </c>
      <c r="D2194">
        <v>0</v>
      </c>
      <c r="E2194" s="2">
        <v>3094218.16</v>
      </c>
      <c r="F2194" s="2">
        <v>3094218.16</v>
      </c>
      <c r="G2194">
        <v>0</v>
      </c>
    </row>
    <row r="2195" spans="1:7" x14ac:dyDescent="0.25">
      <c r="A2195" s="1">
        <v>45139</v>
      </c>
      <c r="B2195" t="s">
        <v>36</v>
      </c>
      <c r="C2195" t="s">
        <v>121</v>
      </c>
      <c r="D2195" s="2">
        <v>20786</v>
      </c>
      <c r="E2195">
        <v>0</v>
      </c>
      <c r="F2195">
        <v>0</v>
      </c>
      <c r="G2195">
        <v>0</v>
      </c>
    </row>
    <row r="2196" spans="1:7" x14ac:dyDescent="0.25">
      <c r="A2196" s="1">
        <v>45139</v>
      </c>
      <c r="B2196" t="s">
        <v>37</v>
      </c>
      <c r="C2196" t="s">
        <v>70</v>
      </c>
      <c r="D2196">
        <v>0</v>
      </c>
      <c r="E2196">
        <v>0</v>
      </c>
      <c r="F2196">
        <v>0</v>
      </c>
      <c r="G2196" s="2">
        <v>2050</v>
      </c>
    </row>
    <row r="2197" spans="1:7" x14ac:dyDescent="0.25">
      <c r="A2197" s="1">
        <v>45139</v>
      </c>
      <c r="B2197" t="s">
        <v>37</v>
      </c>
      <c r="C2197" t="s">
        <v>106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 s="1">
        <v>45139</v>
      </c>
      <c r="B2198" t="s">
        <v>62</v>
      </c>
      <c r="C2198" t="s">
        <v>39</v>
      </c>
      <c r="D2198">
        <v>0</v>
      </c>
      <c r="E2198" s="2">
        <v>200000000</v>
      </c>
      <c r="F2198" s="2">
        <v>200000000</v>
      </c>
      <c r="G2198">
        <v>0</v>
      </c>
    </row>
    <row r="2199" spans="1:7" x14ac:dyDescent="0.25">
      <c r="A2199" s="1">
        <v>45139</v>
      </c>
      <c r="B2199" t="s">
        <v>65</v>
      </c>
      <c r="C2199" t="s">
        <v>12</v>
      </c>
      <c r="D2199">
        <v>0</v>
      </c>
      <c r="E2199" s="2">
        <v>1035.06</v>
      </c>
      <c r="F2199" s="2">
        <v>1035.06</v>
      </c>
      <c r="G2199">
        <v>0</v>
      </c>
    </row>
    <row r="2200" spans="1:7" x14ac:dyDescent="0.25">
      <c r="A2200" s="1">
        <v>45139</v>
      </c>
      <c r="B2200" t="s">
        <v>23</v>
      </c>
      <c r="C2200" t="s">
        <v>16</v>
      </c>
      <c r="D2200" s="2">
        <v>1521676.01</v>
      </c>
      <c r="E2200" s="2">
        <v>8872712.0099999998</v>
      </c>
      <c r="F2200" s="2">
        <v>15455422.77</v>
      </c>
      <c r="G2200" s="2">
        <v>86745.600000000006</v>
      </c>
    </row>
    <row r="2201" spans="1:7" x14ac:dyDescent="0.25">
      <c r="A2201" s="1">
        <v>45139</v>
      </c>
      <c r="B2201" t="s">
        <v>52</v>
      </c>
      <c r="C2201" t="s">
        <v>79</v>
      </c>
      <c r="D2201" s="2">
        <v>1000000</v>
      </c>
      <c r="E2201">
        <v>0</v>
      </c>
      <c r="F2201">
        <v>0</v>
      </c>
      <c r="G2201">
        <v>0</v>
      </c>
    </row>
    <row r="2202" spans="1:7" x14ac:dyDescent="0.25">
      <c r="A2202" s="1">
        <v>45139</v>
      </c>
      <c r="B2202" t="s">
        <v>17</v>
      </c>
      <c r="C2202" t="s">
        <v>66</v>
      </c>
      <c r="D2202">
        <v>0</v>
      </c>
      <c r="E2202">
        <v>0</v>
      </c>
      <c r="F2202">
        <v>0</v>
      </c>
      <c r="G2202" s="2">
        <v>214875</v>
      </c>
    </row>
    <row r="2203" spans="1:7" x14ac:dyDescent="0.25">
      <c r="A2203" s="1">
        <v>45139</v>
      </c>
      <c r="B2203" t="s">
        <v>23</v>
      </c>
      <c r="C2203" t="s">
        <v>22</v>
      </c>
      <c r="D2203">
        <v>0</v>
      </c>
      <c r="E2203" s="2">
        <v>95247.54</v>
      </c>
      <c r="F2203" s="2">
        <v>95247.54</v>
      </c>
      <c r="G2203" s="2">
        <v>4970.28</v>
      </c>
    </row>
    <row r="2204" spans="1:7" x14ac:dyDescent="0.25">
      <c r="A2204" s="1">
        <v>45139</v>
      </c>
      <c r="B2204" t="s">
        <v>41</v>
      </c>
      <c r="C2204" t="s">
        <v>12</v>
      </c>
      <c r="D2204" s="2">
        <v>6330</v>
      </c>
      <c r="E2204">
        <v>0</v>
      </c>
      <c r="F2204">
        <v>0</v>
      </c>
      <c r="G2204">
        <v>0</v>
      </c>
    </row>
    <row r="2205" spans="1:7" x14ac:dyDescent="0.25">
      <c r="A2205" s="1">
        <v>45139</v>
      </c>
      <c r="B2205" t="s">
        <v>11</v>
      </c>
      <c r="C2205" t="s">
        <v>22</v>
      </c>
      <c r="D2205">
        <v>0</v>
      </c>
      <c r="E2205" s="2">
        <v>83161.899999999994</v>
      </c>
      <c r="F2205" s="2">
        <v>83161.899999999994</v>
      </c>
      <c r="G2205">
        <v>0</v>
      </c>
    </row>
    <row r="2206" spans="1:7" x14ac:dyDescent="0.25">
      <c r="A2206" s="1">
        <v>45139</v>
      </c>
      <c r="B2206" t="s">
        <v>13</v>
      </c>
      <c r="C2206" t="s">
        <v>59</v>
      </c>
      <c r="D2206" s="2">
        <v>1500</v>
      </c>
      <c r="E2206" s="2">
        <v>20749.34</v>
      </c>
      <c r="F2206" s="2">
        <v>20749.34</v>
      </c>
      <c r="G2206">
        <v>0</v>
      </c>
    </row>
    <row r="2207" spans="1:7" x14ac:dyDescent="0.25">
      <c r="A2207" s="1">
        <v>45139</v>
      </c>
      <c r="B2207" t="s">
        <v>13</v>
      </c>
      <c r="C2207" t="s">
        <v>16</v>
      </c>
      <c r="D2207">
        <v>0</v>
      </c>
      <c r="E2207" s="2">
        <v>28646.52</v>
      </c>
      <c r="F2207" s="2">
        <v>28646.52</v>
      </c>
      <c r="G2207">
        <v>0</v>
      </c>
    </row>
    <row r="2208" spans="1:7" x14ac:dyDescent="0.25">
      <c r="A2208" s="1">
        <v>45139</v>
      </c>
      <c r="B2208" t="s">
        <v>62</v>
      </c>
      <c r="C2208" t="s">
        <v>78</v>
      </c>
      <c r="D2208">
        <v>0</v>
      </c>
      <c r="E2208">
        <v>0</v>
      </c>
      <c r="F2208">
        <v>0</v>
      </c>
      <c r="G2208" s="2">
        <v>4846.75</v>
      </c>
    </row>
    <row r="2209" spans="1:7" x14ac:dyDescent="0.25">
      <c r="A2209" s="1">
        <v>45139</v>
      </c>
      <c r="B2209" t="s">
        <v>37</v>
      </c>
      <c r="C2209" t="s">
        <v>16</v>
      </c>
      <c r="D2209" s="2">
        <v>-43990</v>
      </c>
      <c r="E2209">
        <v>0</v>
      </c>
      <c r="F2209">
        <v>0</v>
      </c>
      <c r="G2209">
        <v>0</v>
      </c>
    </row>
    <row r="2210" spans="1:7" x14ac:dyDescent="0.25">
      <c r="A2210" s="1">
        <v>45139</v>
      </c>
      <c r="B2210" t="s">
        <v>47</v>
      </c>
      <c r="C2210" t="s">
        <v>103</v>
      </c>
      <c r="D2210" s="2">
        <v>10302592.699999999</v>
      </c>
      <c r="E2210" s="2">
        <v>146889953.30000001</v>
      </c>
      <c r="F2210" s="2">
        <v>146889953.30000001</v>
      </c>
      <c r="G2210">
        <v>0</v>
      </c>
    </row>
    <row r="2211" spans="1:7" x14ac:dyDescent="0.25">
      <c r="A2211" s="1">
        <v>45139</v>
      </c>
      <c r="B2211" t="s">
        <v>15</v>
      </c>
      <c r="C2211" t="s">
        <v>51</v>
      </c>
      <c r="D2211" s="2">
        <v>767888.85</v>
      </c>
      <c r="E2211" s="2">
        <v>260038.29</v>
      </c>
      <c r="F2211" s="2">
        <v>401286.73</v>
      </c>
      <c r="G2211" s="2">
        <v>39764</v>
      </c>
    </row>
    <row r="2212" spans="1:7" x14ac:dyDescent="0.25">
      <c r="A2212" s="1">
        <v>45139</v>
      </c>
      <c r="B2212" t="s">
        <v>47</v>
      </c>
      <c r="C2212" t="s">
        <v>22</v>
      </c>
      <c r="D2212">
        <v>0</v>
      </c>
      <c r="E2212" s="2">
        <v>5261.7</v>
      </c>
      <c r="F2212" s="2">
        <v>5261.7</v>
      </c>
      <c r="G2212">
        <v>0</v>
      </c>
    </row>
    <row r="2213" spans="1:7" x14ac:dyDescent="0.25">
      <c r="A2213" s="1">
        <v>45139</v>
      </c>
      <c r="B2213" t="s">
        <v>13</v>
      </c>
      <c r="C2213" t="s">
        <v>75</v>
      </c>
      <c r="D2213">
        <v>0</v>
      </c>
      <c r="E2213" s="2">
        <v>35041.919999999998</v>
      </c>
      <c r="F2213" s="2">
        <v>35041.919999999998</v>
      </c>
      <c r="G2213">
        <v>0</v>
      </c>
    </row>
    <row r="2214" spans="1:7" x14ac:dyDescent="0.25">
      <c r="A2214" s="1">
        <v>45139</v>
      </c>
      <c r="B2214" t="s">
        <v>13</v>
      </c>
      <c r="C2214" t="s">
        <v>20</v>
      </c>
      <c r="D2214" s="2">
        <v>48205.18</v>
      </c>
      <c r="E2214" s="2">
        <v>15249.8</v>
      </c>
      <c r="F2214">
        <v>255.66</v>
      </c>
      <c r="G2214" s="2">
        <v>693940</v>
      </c>
    </row>
    <row r="2215" spans="1:7" x14ac:dyDescent="0.25">
      <c r="A2215" s="1">
        <v>45139</v>
      </c>
      <c r="B2215" t="s">
        <v>62</v>
      </c>
      <c r="C2215" t="s">
        <v>34</v>
      </c>
      <c r="D2215">
        <v>0</v>
      </c>
      <c r="E2215" s="2">
        <v>8000000</v>
      </c>
      <c r="F2215" s="2">
        <v>8000000</v>
      </c>
      <c r="G2215">
        <v>0</v>
      </c>
    </row>
    <row r="2216" spans="1:7" x14ac:dyDescent="0.25">
      <c r="A2216" s="1">
        <v>45139</v>
      </c>
      <c r="B2216" t="s">
        <v>17</v>
      </c>
      <c r="C2216" t="s">
        <v>59</v>
      </c>
      <c r="D2216" s="2">
        <v>-100010</v>
      </c>
      <c r="E2216">
        <v>0</v>
      </c>
      <c r="F2216">
        <v>0</v>
      </c>
      <c r="G2216" s="2">
        <v>2860</v>
      </c>
    </row>
    <row r="2217" spans="1:7" x14ac:dyDescent="0.25">
      <c r="A2217" s="1">
        <v>45139</v>
      </c>
      <c r="B2217" t="s">
        <v>27</v>
      </c>
      <c r="C2217" t="s">
        <v>56</v>
      </c>
      <c r="D2217">
        <v>0</v>
      </c>
      <c r="E2217" s="2">
        <v>25938.97</v>
      </c>
      <c r="F2217" s="2">
        <v>32808.720000000001</v>
      </c>
      <c r="G2217">
        <v>0</v>
      </c>
    </row>
    <row r="2218" spans="1:7" x14ac:dyDescent="0.25">
      <c r="A2218" s="1">
        <v>45139</v>
      </c>
      <c r="B2218" t="s">
        <v>41</v>
      </c>
      <c r="C2218" t="s">
        <v>57</v>
      </c>
      <c r="D2218" s="2">
        <v>4139.08</v>
      </c>
      <c r="E2218" s="2">
        <v>4139.08</v>
      </c>
      <c r="F2218" s="2">
        <v>6674.08</v>
      </c>
      <c r="G2218" s="2">
        <v>12313.87</v>
      </c>
    </row>
    <row r="2219" spans="1:7" x14ac:dyDescent="0.25">
      <c r="A2219" s="1">
        <v>45139</v>
      </c>
      <c r="B2219" t="s">
        <v>13</v>
      </c>
      <c r="C2219" t="s">
        <v>78</v>
      </c>
      <c r="D2219">
        <v>0</v>
      </c>
      <c r="E2219">
        <v>0</v>
      </c>
      <c r="F2219">
        <v>0</v>
      </c>
      <c r="G2219" s="2">
        <v>3365.91</v>
      </c>
    </row>
    <row r="2220" spans="1:7" x14ac:dyDescent="0.25">
      <c r="A2220" s="1">
        <v>45139</v>
      </c>
      <c r="B2220" t="s">
        <v>13</v>
      </c>
      <c r="C2220" t="s">
        <v>12</v>
      </c>
      <c r="D2220">
        <v>0</v>
      </c>
      <c r="E2220" s="2">
        <v>18767</v>
      </c>
      <c r="F2220">
        <v>0</v>
      </c>
      <c r="G2220">
        <v>0</v>
      </c>
    </row>
    <row r="2221" spans="1:7" x14ac:dyDescent="0.25">
      <c r="A2221" s="1">
        <v>45139</v>
      </c>
      <c r="B2221" t="s">
        <v>47</v>
      </c>
      <c r="C2221" t="s">
        <v>16</v>
      </c>
      <c r="D2221" s="2">
        <v>-15801821.039999999</v>
      </c>
      <c r="E2221" s="2">
        <v>-7856378.7400000002</v>
      </c>
      <c r="F2221" s="2">
        <v>-4905209.32</v>
      </c>
      <c r="G2221" s="2">
        <v>13169385</v>
      </c>
    </row>
    <row r="2222" spans="1:7" x14ac:dyDescent="0.25">
      <c r="A2222" s="1">
        <v>45139</v>
      </c>
      <c r="B2222" t="s">
        <v>9</v>
      </c>
      <c r="C2222" t="s">
        <v>22</v>
      </c>
      <c r="D2222" s="2">
        <v>13163811</v>
      </c>
      <c r="E2222" s="2">
        <v>128698.54</v>
      </c>
      <c r="F2222" s="2">
        <v>116664.34</v>
      </c>
      <c r="G2222" s="2">
        <v>16046.64</v>
      </c>
    </row>
    <row r="2223" spans="1:7" x14ac:dyDescent="0.25">
      <c r="A2223" s="1">
        <v>45139</v>
      </c>
      <c r="B2223" t="s">
        <v>54</v>
      </c>
      <c r="C2223" t="s">
        <v>22</v>
      </c>
      <c r="D2223" s="2">
        <v>20791.63</v>
      </c>
      <c r="E2223" s="2">
        <v>23687.27</v>
      </c>
      <c r="F2223" s="2">
        <v>23687.27</v>
      </c>
      <c r="G2223">
        <v>0</v>
      </c>
    </row>
    <row r="2224" spans="1:7" x14ac:dyDescent="0.25">
      <c r="A2224" s="1">
        <v>45139</v>
      </c>
      <c r="B2224" t="s">
        <v>45</v>
      </c>
      <c r="C2224" t="s">
        <v>46</v>
      </c>
      <c r="D2224" s="2">
        <v>500000</v>
      </c>
      <c r="E2224">
        <v>0</v>
      </c>
      <c r="F2224">
        <v>0</v>
      </c>
      <c r="G2224" s="2">
        <v>178529.38</v>
      </c>
    </row>
    <row r="2225" spans="1:7" x14ac:dyDescent="0.25">
      <c r="A2225" s="1">
        <v>45139</v>
      </c>
      <c r="B2225" t="s">
        <v>62</v>
      </c>
      <c r="C2225" t="s">
        <v>63</v>
      </c>
      <c r="D2225">
        <v>0</v>
      </c>
      <c r="E2225">
        <v>0</v>
      </c>
      <c r="F2225">
        <v>0</v>
      </c>
      <c r="G2225" s="2">
        <v>156536.01999999999</v>
      </c>
    </row>
    <row r="2226" spans="1:7" x14ac:dyDescent="0.25">
      <c r="A2226" s="1">
        <v>45139</v>
      </c>
      <c r="B2226" t="s">
        <v>37</v>
      </c>
      <c r="C2226" t="s">
        <v>72</v>
      </c>
      <c r="D2226" s="2">
        <v>157435.46</v>
      </c>
      <c r="E2226" s="2">
        <v>317639.45</v>
      </c>
      <c r="F2226" s="2">
        <v>3161288.18</v>
      </c>
      <c r="G2226">
        <v>0</v>
      </c>
    </row>
    <row r="2227" spans="1:7" x14ac:dyDescent="0.25">
      <c r="A2227" s="1">
        <v>45139</v>
      </c>
      <c r="B2227" t="s">
        <v>9</v>
      </c>
      <c r="C2227" t="s">
        <v>24</v>
      </c>
      <c r="D2227" s="2">
        <v>1219606.03</v>
      </c>
      <c r="E2227" s="2">
        <v>1155292.81</v>
      </c>
      <c r="F2227" s="2">
        <v>1155292.81</v>
      </c>
      <c r="G2227" s="2">
        <v>95459.12</v>
      </c>
    </row>
    <row r="2228" spans="1:7" x14ac:dyDescent="0.25">
      <c r="A2228" s="1">
        <v>45139</v>
      </c>
      <c r="B2228" t="s">
        <v>69</v>
      </c>
      <c r="C2228" t="s">
        <v>22</v>
      </c>
      <c r="D2228" s="2">
        <v>123135.62</v>
      </c>
      <c r="E2228" s="2">
        <v>170307.19</v>
      </c>
      <c r="F2228" s="2">
        <v>221704.9</v>
      </c>
      <c r="G2228">
        <v>0</v>
      </c>
    </row>
    <row r="2229" spans="1:7" x14ac:dyDescent="0.25">
      <c r="A2229" s="1">
        <v>45139</v>
      </c>
      <c r="B2229" t="s">
        <v>23</v>
      </c>
      <c r="C2229" t="s">
        <v>59</v>
      </c>
      <c r="D2229">
        <v>0</v>
      </c>
      <c r="E2229">
        <v>0</v>
      </c>
      <c r="F2229">
        <v>0</v>
      </c>
      <c r="G2229" s="2">
        <v>4500</v>
      </c>
    </row>
    <row r="2230" spans="1:7" x14ac:dyDescent="0.25">
      <c r="A2230" s="1">
        <v>45139</v>
      </c>
      <c r="B2230" t="s">
        <v>62</v>
      </c>
      <c r="C2230" t="s">
        <v>22</v>
      </c>
      <c r="D2230">
        <v>0</v>
      </c>
      <c r="E2230" s="2">
        <v>-132532.03</v>
      </c>
      <c r="F2230" s="2">
        <v>-132532.03</v>
      </c>
      <c r="G2230">
        <v>0</v>
      </c>
    </row>
    <row r="2231" spans="1:7" x14ac:dyDescent="0.25">
      <c r="A2231" s="1">
        <v>45139</v>
      </c>
      <c r="B2231" t="s">
        <v>15</v>
      </c>
      <c r="C2231" t="s">
        <v>79</v>
      </c>
      <c r="D2231" s="2">
        <v>167859.66</v>
      </c>
      <c r="E2231" s="2">
        <v>298811.81</v>
      </c>
      <c r="F2231" s="2">
        <v>272412.74</v>
      </c>
      <c r="G2231">
        <v>0</v>
      </c>
    </row>
    <row r="2232" spans="1:7" x14ac:dyDescent="0.25">
      <c r="A2232" s="1">
        <v>45139</v>
      </c>
      <c r="B2232" t="s">
        <v>33</v>
      </c>
      <c r="C2232" t="s">
        <v>67</v>
      </c>
      <c r="D2232" s="2">
        <v>741662.86</v>
      </c>
      <c r="E2232" s="2">
        <v>4264423.09</v>
      </c>
      <c r="F2232" s="2">
        <v>4275450.51</v>
      </c>
      <c r="G2232" s="2">
        <v>6706441.8399999999</v>
      </c>
    </row>
    <row r="2233" spans="1:7" x14ac:dyDescent="0.25">
      <c r="A2233" s="1">
        <v>45139</v>
      </c>
      <c r="B2233" t="s">
        <v>65</v>
      </c>
      <c r="C2233" t="s">
        <v>73</v>
      </c>
      <c r="D2233" s="2">
        <v>1312974321.6600001</v>
      </c>
      <c r="E2233" s="2">
        <v>1312948679.8699999</v>
      </c>
      <c r="F2233" s="2">
        <v>1312946203.03</v>
      </c>
      <c r="G2233" s="2">
        <v>18961.28</v>
      </c>
    </row>
    <row r="2234" spans="1:7" x14ac:dyDescent="0.25">
      <c r="A2234" s="1">
        <v>45139</v>
      </c>
      <c r="B2234" t="s">
        <v>52</v>
      </c>
      <c r="C2234" t="s">
        <v>10</v>
      </c>
      <c r="D2234">
        <v>0</v>
      </c>
      <c r="E2234">
        <v>0</v>
      </c>
      <c r="F2234">
        <v>0</v>
      </c>
      <c r="G2234">
        <v>582.96</v>
      </c>
    </row>
    <row r="2235" spans="1:7" x14ac:dyDescent="0.25">
      <c r="A2235" s="1">
        <v>45139</v>
      </c>
      <c r="B2235" t="s">
        <v>52</v>
      </c>
      <c r="C2235" t="s">
        <v>16</v>
      </c>
      <c r="D2235">
        <v>0</v>
      </c>
      <c r="E2235">
        <v>0</v>
      </c>
      <c r="F2235">
        <v>0</v>
      </c>
      <c r="G2235">
        <v>841.6</v>
      </c>
    </row>
    <row r="2236" spans="1:7" x14ac:dyDescent="0.25">
      <c r="A2236" s="1">
        <v>45139</v>
      </c>
      <c r="B2236" t="s">
        <v>37</v>
      </c>
      <c r="C2236" t="s">
        <v>49</v>
      </c>
      <c r="D2236">
        <v>0</v>
      </c>
      <c r="E2236">
        <v>0</v>
      </c>
      <c r="F2236">
        <v>0</v>
      </c>
      <c r="G2236" s="2">
        <v>3578440</v>
      </c>
    </row>
    <row r="2237" spans="1:7" x14ac:dyDescent="0.25">
      <c r="A2237" s="1">
        <v>45139</v>
      </c>
      <c r="B2237" t="s">
        <v>43</v>
      </c>
      <c r="C2237" t="s">
        <v>61</v>
      </c>
      <c r="D2237" s="2">
        <v>71828.710000000006</v>
      </c>
      <c r="E2237" s="2">
        <v>452120.35</v>
      </c>
      <c r="F2237" s="2">
        <v>460954.42</v>
      </c>
      <c r="G2237">
        <v>0</v>
      </c>
    </row>
    <row r="2238" spans="1:7" x14ac:dyDescent="0.25">
      <c r="A2238" s="1">
        <v>45139</v>
      </c>
      <c r="B2238" t="s">
        <v>23</v>
      </c>
      <c r="C2238" t="s">
        <v>64</v>
      </c>
      <c r="D2238" s="2">
        <v>2176627.06</v>
      </c>
      <c r="E2238" s="2">
        <v>943513.25</v>
      </c>
      <c r="F2238" s="2">
        <v>1166186.77</v>
      </c>
      <c r="G2238" s="2">
        <v>516367.12</v>
      </c>
    </row>
    <row r="2239" spans="1:7" x14ac:dyDescent="0.25">
      <c r="A2239" s="1">
        <v>45139</v>
      </c>
      <c r="B2239" t="s">
        <v>91</v>
      </c>
      <c r="C2239" t="s">
        <v>14</v>
      </c>
      <c r="D2239" s="2">
        <v>19341081.899999999</v>
      </c>
      <c r="E2239" s="2">
        <v>14819271.32</v>
      </c>
      <c r="F2239" s="2">
        <v>15295663.310000001</v>
      </c>
      <c r="G2239" s="2">
        <v>1183185.9099999999</v>
      </c>
    </row>
    <row r="2240" spans="1:7" x14ac:dyDescent="0.25">
      <c r="A2240" s="1">
        <v>45139</v>
      </c>
      <c r="B2240" t="s">
        <v>28</v>
      </c>
      <c r="C2240" t="s">
        <v>29</v>
      </c>
      <c r="D2240">
        <v>0</v>
      </c>
      <c r="E2240" s="2">
        <v>-21826.68</v>
      </c>
      <c r="F2240" s="2">
        <v>267334429.78</v>
      </c>
      <c r="G2240" s="2">
        <v>8334.9699999999993</v>
      </c>
    </row>
    <row r="2241" spans="1:7" x14ac:dyDescent="0.25">
      <c r="A2241" s="1">
        <v>45139</v>
      </c>
      <c r="B2241" t="s">
        <v>27</v>
      </c>
      <c r="C2241" t="s">
        <v>57</v>
      </c>
      <c r="D2241" s="2">
        <v>96773.23</v>
      </c>
      <c r="E2241" s="2">
        <v>444933.3</v>
      </c>
      <c r="F2241" s="2">
        <v>446095.55</v>
      </c>
      <c r="G2241">
        <v>0</v>
      </c>
    </row>
    <row r="2242" spans="1:7" x14ac:dyDescent="0.25">
      <c r="A2242" s="1">
        <v>45139</v>
      </c>
      <c r="B2242" t="s">
        <v>28</v>
      </c>
      <c r="C2242" t="s">
        <v>22</v>
      </c>
      <c r="D2242" s="2">
        <v>134728</v>
      </c>
      <c r="E2242" s="2">
        <v>152156.29999999999</v>
      </c>
      <c r="F2242" s="2">
        <v>17428.3</v>
      </c>
      <c r="G2242">
        <v>0</v>
      </c>
    </row>
    <row r="2243" spans="1:7" x14ac:dyDescent="0.25">
      <c r="A2243" s="1">
        <v>45139</v>
      </c>
      <c r="B2243" t="s">
        <v>69</v>
      </c>
      <c r="C2243" t="s">
        <v>34</v>
      </c>
      <c r="D2243" s="2">
        <v>195408.9</v>
      </c>
      <c r="E2243" s="2">
        <v>212206.59</v>
      </c>
      <c r="F2243" s="2">
        <v>47172.53</v>
      </c>
      <c r="G2243" s="2">
        <v>10750</v>
      </c>
    </row>
    <row r="2244" spans="1:7" x14ac:dyDescent="0.25">
      <c r="A2244" s="1">
        <v>45139</v>
      </c>
      <c r="B2244" t="s">
        <v>43</v>
      </c>
      <c r="C2244" t="s">
        <v>34</v>
      </c>
      <c r="D2244">
        <v>0</v>
      </c>
      <c r="E2244" s="2">
        <v>7995395.9699999997</v>
      </c>
      <c r="F2244">
        <v>0</v>
      </c>
      <c r="G2244">
        <v>0</v>
      </c>
    </row>
    <row r="2245" spans="1:7" x14ac:dyDescent="0.25">
      <c r="A2245" s="1">
        <v>45139</v>
      </c>
      <c r="B2245" t="s">
        <v>43</v>
      </c>
      <c r="C2245" t="s">
        <v>78</v>
      </c>
      <c r="D2245">
        <v>0</v>
      </c>
      <c r="E2245">
        <v>0</v>
      </c>
      <c r="F2245">
        <v>0</v>
      </c>
      <c r="G2245" s="2">
        <v>3060.7</v>
      </c>
    </row>
    <row r="2246" spans="1:7" x14ac:dyDescent="0.25">
      <c r="A2246" s="1">
        <v>45139</v>
      </c>
      <c r="B2246" t="s">
        <v>28</v>
      </c>
      <c r="C2246" t="s">
        <v>99</v>
      </c>
      <c r="D2246">
        <v>0</v>
      </c>
      <c r="E2246" s="2">
        <v>5732869.6100000003</v>
      </c>
      <c r="F2246" s="2">
        <v>6047559.79</v>
      </c>
      <c r="G2246">
        <v>0</v>
      </c>
    </row>
    <row r="2247" spans="1:7" x14ac:dyDescent="0.25">
      <c r="A2247" s="1">
        <v>45139</v>
      </c>
      <c r="B2247" t="s">
        <v>11</v>
      </c>
      <c r="C2247" t="s">
        <v>12</v>
      </c>
      <c r="D2247" s="2">
        <v>1665346.84</v>
      </c>
      <c r="E2247" s="2">
        <v>595656.36</v>
      </c>
      <c r="F2247" s="2">
        <v>678843.88</v>
      </c>
      <c r="G2247">
        <v>0</v>
      </c>
    </row>
    <row r="2248" spans="1:7" x14ac:dyDescent="0.25">
      <c r="A2248" s="1">
        <v>45139</v>
      </c>
      <c r="B2248" t="s">
        <v>31</v>
      </c>
      <c r="C2248" t="s">
        <v>82</v>
      </c>
      <c r="D2248">
        <v>0</v>
      </c>
      <c r="E2248" s="2">
        <v>3049254265.0999999</v>
      </c>
      <c r="F2248" s="2">
        <v>3049254265.0999999</v>
      </c>
      <c r="G2248">
        <v>0</v>
      </c>
    </row>
    <row r="2249" spans="1:7" x14ac:dyDescent="0.25">
      <c r="A2249" s="1">
        <v>45139</v>
      </c>
      <c r="B2249" t="s">
        <v>21</v>
      </c>
      <c r="C2249" t="s">
        <v>57</v>
      </c>
      <c r="D2249">
        <v>0</v>
      </c>
      <c r="E2249" s="2">
        <v>7778.2</v>
      </c>
      <c r="F2249" s="2">
        <v>7778.2</v>
      </c>
      <c r="G2249" s="2">
        <v>625839.89</v>
      </c>
    </row>
    <row r="2250" spans="1:7" x14ac:dyDescent="0.25">
      <c r="A2250" s="1">
        <v>45139</v>
      </c>
      <c r="B2250" t="s">
        <v>17</v>
      </c>
      <c r="C2250" t="s">
        <v>48</v>
      </c>
      <c r="D2250">
        <v>0</v>
      </c>
      <c r="E2250">
        <v>0</v>
      </c>
      <c r="F2250">
        <v>0</v>
      </c>
      <c r="G2250" s="2">
        <v>2103771.52</v>
      </c>
    </row>
    <row r="2251" spans="1:7" x14ac:dyDescent="0.25">
      <c r="A2251" s="1">
        <v>45139</v>
      </c>
      <c r="B2251" t="s">
        <v>52</v>
      </c>
      <c r="C2251" t="s">
        <v>12</v>
      </c>
      <c r="D2251" s="2">
        <v>152547.42000000001</v>
      </c>
      <c r="E2251" s="2">
        <v>50739.92</v>
      </c>
      <c r="F2251" s="2">
        <v>56511.89</v>
      </c>
      <c r="G2251" s="2">
        <v>44700.37</v>
      </c>
    </row>
    <row r="2252" spans="1:7" x14ac:dyDescent="0.25">
      <c r="A2252" s="1">
        <v>45139</v>
      </c>
      <c r="B2252" t="s">
        <v>13</v>
      </c>
      <c r="C2252" t="s">
        <v>79</v>
      </c>
      <c r="D2252" s="2">
        <v>110000</v>
      </c>
      <c r="E2252" s="2">
        <v>1041290.47</v>
      </c>
      <c r="F2252" s="2">
        <v>931290.47</v>
      </c>
      <c r="G2252" s="2">
        <v>24780</v>
      </c>
    </row>
    <row r="2253" spans="1:7" x14ac:dyDescent="0.25">
      <c r="A2253" s="1">
        <v>45139</v>
      </c>
      <c r="B2253" t="s">
        <v>15</v>
      </c>
      <c r="C2253" t="s">
        <v>25</v>
      </c>
      <c r="D2253" s="2">
        <v>804781.08</v>
      </c>
      <c r="E2253" s="2">
        <v>1691109.12</v>
      </c>
      <c r="F2253" s="2">
        <v>1490521.03</v>
      </c>
      <c r="G2253">
        <v>0</v>
      </c>
    </row>
    <row r="2254" spans="1:7" x14ac:dyDescent="0.25">
      <c r="A2254" s="1">
        <v>45139</v>
      </c>
      <c r="B2254" t="s">
        <v>7</v>
      </c>
      <c r="C2254" t="s">
        <v>81</v>
      </c>
      <c r="D2254">
        <v>0</v>
      </c>
      <c r="E2254" s="2">
        <v>159296734.06999999</v>
      </c>
      <c r="F2254" s="2">
        <v>159201501.97999999</v>
      </c>
      <c r="G2254" s="2">
        <v>17812.37</v>
      </c>
    </row>
    <row r="2255" spans="1:7" x14ac:dyDescent="0.25">
      <c r="A2255" s="1">
        <v>45139</v>
      </c>
      <c r="B2255" t="s">
        <v>11</v>
      </c>
      <c r="C2255" t="s">
        <v>39</v>
      </c>
      <c r="D2255" s="2">
        <v>383908.68</v>
      </c>
      <c r="E2255" s="2">
        <v>416068.12</v>
      </c>
      <c r="F2255" s="2">
        <v>416068.12</v>
      </c>
      <c r="G2255">
        <v>714.73</v>
      </c>
    </row>
    <row r="2256" spans="1:7" x14ac:dyDescent="0.25">
      <c r="A2256" s="1">
        <v>45139</v>
      </c>
      <c r="B2256" t="s">
        <v>15</v>
      </c>
      <c r="C2256" t="s">
        <v>12</v>
      </c>
      <c r="D2256" s="2">
        <v>563305.32999999996</v>
      </c>
      <c r="E2256" s="2">
        <v>237542.63</v>
      </c>
      <c r="F2256" s="2">
        <v>354676.71</v>
      </c>
      <c r="G2256" s="2">
        <v>41968.4</v>
      </c>
    </row>
    <row r="2257" spans="1:7" x14ac:dyDescent="0.25">
      <c r="A2257" s="1">
        <v>45139</v>
      </c>
      <c r="B2257" t="s">
        <v>7</v>
      </c>
      <c r="C2257" t="s">
        <v>16</v>
      </c>
      <c r="D2257" s="2">
        <v>2620106</v>
      </c>
      <c r="E2257" s="2">
        <v>4448565.2300000004</v>
      </c>
      <c r="F2257" s="2">
        <v>1411884.33</v>
      </c>
      <c r="G2257" s="2">
        <v>23758.959999999999</v>
      </c>
    </row>
    <row r="2258" spans="1:7" x14ac:dyDescent="0.25">
      <c r="A2258" s="1">
        <v>45139</v>
      </c>
      <c r="B2258" t="s">
        <v>83</v>
      </c>
      <c r="C2258" t="s">
        <v>42</v>
      </c>
      <c r="D2258">
        <v>0</v>
      </c>
      <c r="E2258" s="2">
        <v>39306.879999999997</v>
      </c>
      <c r="F2258" s="2">
        <v>64543.01</v>
      </c>
      <c r="G2258">
        <v>0</v>
      </c>
    </row>
    <row r="2259" spans="1:7" x14ac:dyDescent="0.25">
      <c r="A2259" s="1">
        <v>45139</v>
      </c>
      <c r="B2259" t="s">
        <v>91</v>
      </c>
      <c r="C2259" t="s">
        <v>51</v>
      </c>
      <c r="D2259" s="2">
        <v>-2000</v>
      </c>
      <c r="E2259" s="2">
        <v>14989.65</v>
      </c>
      <c r="F2259" s="2">
        <v>14989.65</v>
      </c>
      <c r="G2259">
        <v>0</v>
      </c>
    </row>
    <row r="2260" spans="1:7" x14ac:dyDescent="0.25">
      <c r="A2260" s="1">
        <v>45139</v>
      </c>
      <c r="B2260" t="s">
        <v>43</v>
      </c>
      <c r="C2260" t="s">
        <v>44</v>
      </c>
      <c r="D2260" s="2">
        <v>30000</v>
      </c>
      <c r="E2260" s="2">
        <v>79107.16</v>
      </c>
      <c r="F2260" s="2">
        <v>12898.5</v>
      </c>
      <c r="G2260" s="2">
        <v>139657.92000000001</v>
      </c>
    </row>
    <row r="2261" spans="1:7" x14ac:dyDescent="0.25">
      <c r="A2261" s="1">
        <v>45139</v>
      </c>
      <c r="B2261" t="s">
        <v>54</v>
      </c>
      <c r="C2261" t="s">
        <v>74</v>
      </c>
      <c r="D2261" s="2">
        <v>480515.3</v>
      </c>
      <c r="E2261" s="2">
        <v>12544.85</v>
      </c>
      <c r="F2261" s="2">
        <v>5600</v>
      </c>
      <c r="G2261" s="2">
        <v>96219.02</v>
      </c>
    </row>
    <row r="2262" spans="1:7" x14ac:dyDescent="0.25">
      <c r="A2262" s="1">
        <v>45139</v>
      </c>
      <c r="B2262" t="s">
        <v>13</v>
      </c>
      <c r="C2262" t="s">
        <v>22</v>
      </c>
      <c r="D2262" s="2">
        <v>1000</v>
      </c>
      <c r="E2262" s="2">
        <v>18726.849999999999</v>
      </c>
      <c r="F2262" s="2">
        <v>106367.32</v>
      </c>
      <c r="G2262">
        <v>0</v>
      </c>
    </row>
    <row r="2263" spans="1:7" x14ac:dyDescent="0.25">
      <c r="A2263" s="1">
        <v>45139</v>
      </c>
      <c r="B2263" t="s">
        <v>13</v>
      </c>
      <c r="C2263" t="s">
        <v>71</v>
      </c>
      <c r="D2263" s="2">
        <v>3170092.96</v>
      </c>
      <c r="E2263" s="2">
        <v>1911146.49</v>
      </c>
      <c r="F2263" s="2">
        <v>1911146.49</v>
      </c>
      <c r="G2263" s="2">
        <v>57460</v>
      </c>
    </row>
    <row r="2264" spans="1:7" x14ac:dyDescent="0.25">
      <c r="A2264" s="1">
        <v>45139</v>
      </c>
      <c r="B2264" t="s">
        <v>47</v>
      </c>
      <c r="C2264" t="s">
        <v>24</v>
      </c>
      <c r="D2264" s="2">
        <v>979323.64</v>
      </c>
      <c r="E2264" s="2">
        <v>579701.67000000004</v>
      </c>
      <c r="F2264" s="2">
        <v>566460.22</v>
      </c>
      <c r="G2264">
        <v>0</v>
      </c>
    </row>
    <row r="2265" spans="1:7" x14ac:dyDescent="0.25">
      <c r="A2265" s="1">
        <v>45139</v>
      </c>
      <c r="B2265" t="s">
        <v>13</v>
      </c>
      <c r="C2265" t="s">
        <v>39</v>
      </c>
      <c r="D2265">
        <v>0</v>
      </c>
      <c r="E2265">
        <v>0</v>
      </c>
      <c r="F2265">
        <v>0</v>
      </c>
      <c r="G2265" s="2">
        <v>1911708.66</v>
      </c>
    </row>
    <row r="2266" spans="1:7" x14ac:dyDescent="0.25">
      <c r="A2266" s="1">
        <v>45139</v>
      </c>
      <c r="B2266" t="s">
        <v>65</v>
      </c>
      <c r="C2266" t="s">
        <v>34</v>
      </c>
      <c r="D2266" s="2">
        <v>10804505.26</v>
      </c>
      <c r="E2266" s="2">
        <v>9846640.6400000006</v>
      </c>
      <c r="F2266" s="2">
        <v>9993144.2200000007</v>
      </c>
      <c r="G2266" s="2">
        <v>90002.17</v>
      </c>
    </row>
    <row r="2267" spans="1:7" x14ac:dyDescent="0.25">
      <c r="A2267" s="1">
        <v>45139</v>
      </c>
      <c r="B2267" t="s">
        <v>17</v>
      </c>
      <c r="C2267" t="s">
        <v>78</v>
      </c>
      <c r="D2267">
        <v>0</v>
      </c>
      <c r="E2267">
        <v>0</v>
      </c>
      <c r="F2267">
        <v>0</v>
      </c>
      <c r="G2267" s="2">
        <v>8228135.7199999997</v>
      </c>
    </row>
    <row r="2268" spans="1:7" x14ac:dyDescent="0.25">
      <c r="A2268" s="1">
        <v>45139</v>
      </c>
      <c r="B2268" t="s">
        <v>43</v>
      </c>
      <c r="C2268" t="s">
        <v>22</v>
      </c>
      <c r="D2268">
        <v>0</v>
      </c>
      <c r="E2268" s="2">
        <v>3508.88</v>
      </c>
      <c r="F2268" s="2">
        <v>62121.66</v>
      </c>
      <c r="G2268">
        <v>0</v>
      </c>
    </row>
    <row r="2269" spans="1:7" x14ac:dyDescent="0.25">
      <c r="A2269" s="1">
        <v>45139</v>
      </c>
      <c r="B2269" t="s">
        <v>54</v>
      </c>
      <c r="C2269" t="s">
        <v>119</v>
      </c>
      <c r="D2269" s="2">
        <v>170969.45</v>
      </c>
      <c r="E2269" s="2">
        <v>795099.47</v>
      </c>
      <c r="F2269" s="2">
        <v>877950.9</v>
      </c>
      <c r="G2269" s="2">
        <v>31950.71</v>
      </c>
    </row>
    <row r="2270" spans="1:7" x14ac:dyDescent="0.25">
      <c r="A2270" s="1">
        <v>45139</v>
      </c>
      <c r="B2270" t="s">
        <v>23</v>
      </c>
      <c r="C2270" t="s">
        <v>79</v>
      </c>
      <c r="D2270" s="2">
        <v>1504.5</v>
      </c>
      <c r="E2270" s="2">
        <v>65482.79</v>
      </c>
      <c r="F2270" s="2">
        <v>1660905.98</v>
      </c>
      <c r="G2270" s="2">
        <v>3865.28</v>
      </c>
    </row>
    <row r="2271" spans="1:7" x14ac:dyDescent="0.25">
      <c r="A2271" s="1">
        <v>45139</v>
      </c>
      <c r="B2271" t="s">
        <v>37</v>
      </c>
      <c r="C2271" t="s">
        <v>78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 s="1">
        <v>45139</v>
      </c>
      <c r="B2272" t="s">
        <v>27</v>
      </c>
      <c r="C2272" t="s">
        <v>72</v>
      </c>
      <c r="D2272">
        <v>0</v>
      </c>
      <c r="E2272" s="2">
        <v>2752301.47</v>
      </c>
      <c r="F2272" s="2">
        <v>17033833.129999999</v>
      </c>
      <c r="G2272">
        <v>0</v>
      </c>
    </row>
    <row r="2273" spans="1:7" x14ac:dyDescent="0.25">
      <c r="A2273" s="1">
        <v>45139</v>
      </c>
      <c r="B2273" t="s">
        <v>41</v>
      </c>
      <c r="C2273" t="s">
        <v>85</v>
      </c>
      <c r="D2273" s="2">
        <v>37909.74</v>
      </c>
      <c r="E2273" s="2">
        <v>211991.43</v>
      </c>
      <c r="F2273" s="2">
        <v>284265.24</v>
      </c>
      <c r="G2273" s="2">
        <v>22903.53</v>
      </c>
    </row>
    <row r="2274" spans="1:7" x14ac:dyDescent="0.25">
      <c r="A2274" s="1">
        <v>45139</v>
      </c>
      <c r="B2274" t="s">
        <v>52</v>
      </c>
      <c r="C2274" t="s">
        <v>78</v>
      </c>
      <c r="D2274">
        <v>0</v>
      </c>
      <c r="E2274">
        <v>0</v>
      </c>
      <c r="F2274">
        <v>0</v>
      </c>
      <c r="G2274" s="2">
        <v>7027.97</v>
      </c>
    </row>
    <row r="2275" spans="1:7" x14ac:dyDescent="0.25">
      <c r="A2275" s="1">
        <v>45139</v>
      </c>
      <c r="B2275" t="s">
        <v>31</v>
      </c>
      <c r="C2275" t="s">
        <v>92</v>
      </c>
      <c r="D2275" s="2">
        <v>14174454155.58</v>
      </c>
      <c r="E2275" s="2">
        <v>43502989965.089996</v>
      </c>
      <c r="F2275" s="2">
        <v>43501499478.290001</v>
      </c>
      <c r="G2275">
        <v>0</v>
      </c>
    </row>
    <row r="2276" spans="1:7" x14ac:dyDescent="0.25">
      <c r="A2276" s="1">
        <v>45139</v>
      </c>
      <c r="B2276" t="s">
        <v>15</v>
      </c>
      <c r="C2276" t="s">
        <v>72</v>
      </c>
      <c r="D2276">
        <v>0</v>
      </c>
      <c r="E2276" s="2">
        <v>662432.85</v>
      </c>
      <c r="F2276" s="2">
        <v>4757932.93</v>
      </c>
      <c r="G2276">
        <v>0</v>
      </c>
    </row>
    <row r="2277" spans="1:7" x14ac:dyDescent="0.25">
      <c r="A2277" s="1">
        <v>45139</v>
      </c>
      <c r="B2277" t="s">
        <v>21</v>
      </c>
      <c r="C2277" t="s">
        <v>80</v>
      </c>
      <c r="D2277" s="2">
        <v>230000</v>
      </c>
      <c r="E2277" s="2">
        <v>3461743.55</v>
      </c>
      <c r="F2277" s="2">
        <v>3331584.42</v>
      </c>
      <c r="G2277">
        <v>0</v>
      </c>
    </row>
    <row r="2278" spans="1:7" x14ac:dyDescent="0.25">
      <c r="A2278" s="1">
        <v>45139</v>
      </c>
      <c r="B2278" t="s">
        <v>28</v>
      </c>
      <c r="C2278" t="s">
        <v>12</v>
      </c>
      <c r="D2278" s="2">
        <v>18652.75</v>
      </c>
      <c r="E2278" s="2">
        <v>40557.599999999999</v>
      </c>
      <c r="F2278" s="2">
        <v>37690.239999999998</v>
      </c>
      <c r="G2278">
        <v>0</v>
      </c>
    </row>
    <row r="2279" spans="1:7" x14ac:dyDescent="0.25">
      <c r="A2279" s="1">
        <v>45139</v>
      </c>
      <c r="B2279" t="s">
        <v>54</v>
      </c>
      <c r="C2279" t="s">
        <v>76</v>
      </c>
      <c r="D2279" s="2">
        <v>658629.37</v>
      </c>
      <c r="E2279" s="2">
        <v>227035.5</v>
      </c>
      <c r="F2279" s="2">
        <v>208101.04</v>
      </c>
      <c r="G2279" s="2">
        <v>1155251.79</v>
      </c>
    </row>
    <row r="2280" spans="1:7" x14ac:dyDescent="0.25">
      <c r="A2280" s="1">
        <v>45139</v>
      </c>
      <c r="B2280" t="s">
        <v>41</v>
      </c>
      <c r="C2280" t="s">
        <v>42</v>
      </c>
      <c r="D2280">
        <v>0</v>
      </c>
      <c r="E2280">
        <v>0</v>
      </c>
      <c r="F2280" s="2">
        <v>149520.04</v>
      </c>
      <c r="G2280" s="2">
        <v>19283.150000000001</v>
      </c>
    </row>
    <row r="2281" spans="1:7" x14ac:dyDescent="0.25">
      <c r="A2281" s="1">
        <v>45139</v>
      </c>
      <c r="B2281" t="s">
        <v>62</v>
      </c>
      <c r="C2281" t="s">
        <v>12</v>
      </c>
      <c r="D2281" s="2">
        <v>72122.12</v>
      </c>
      <c r="E2281" s="2">
        <v>51153.63</v>
      </c>
      <c r="F2281" s="2">
        <v>56694.58</v>
      </c>
      <c r="G2281">
        <v>0</v>
      </c>
    </row>
    <row r="2282" spans="1:7" x14ac:dyDescent="0.25">
      <c r="A2282" s="1">
        <v>45139</v>
      </c>
      <c r="B2282" t="s">
        <v>17</v>
      </c>
      <c r="C2282" t="s">
        <v>72</v>
      </c>
      <c r="D2282">
        <v>0</v>
      </c>
      <c r="E2282" s="2">
        <v>14816194.5</v>
      </c>
      <c r="F2282" s="2">
        <v>20977117.34</v>
      </c>
      <c r="G2282">
        <v>0</v>
      </c>
    </row>
    <row r="2283" spans="1:7" x14ac:dyDescent="0.25">
      <c r="A2283" s="1">
        <v>45139</v>
      </c>
      <c r="B2283" t="s">
        <v>33</v>
      </c>
      <c r="C2283" t="s">
        <v>64</v>
      </c>
      <c r="D2283" s="2">
        <v>1858381.75</v>
      </c>
      <c r="E2283" s="2">
        <v>2178889.62</v>
      </c>
      <c r="F2283" s="2">
        <v>2190846.5099999998</v>
      </c>
      <c r="G2283" s="2">
        <v>36023.33</v>
      </c>
    </row>
    <row r="2284" spans="1:7" x14ac:dyDescent="0.25">
      <c r="A2284" s="1">
        <v>45139</v>
      </c>
      <c r="B2284" t="s">
        <v>28</v>
      </c>
      <c r="C2284" t="s">
        <v>72</v>
      </c>
      <c r="D2284" s="2">
        <v>48689.38</v>
      </c>
      <c r="E2284" s="2">
        <v>5240108.28</v>
      </c>
      <c r="F2284" s="2">
        <v>43365270.329999998</v>
      </c>
      <c r="G2284">
        <v>0</v>
      </c>
    </row>
    <row r="2285" spans="1:7" x14ac:dyDescent="0.25">
      <c r="A2285" s="1">
        <v>45139</v>
      </c>
      <c r="B2285" t="s">
        <v>52</v>
      </c>
      <c r="C2285" t="s">
        <v>22</v>
      </c>
      <c r="D2285">
        <v>0</v>
      </c>
      <c r="E2285">
        <v>0</v>
      </c>
      <c r="F2285">
        <v>527</v>
      </c>
      <c r="G2285">
        <v>0</v>
      </c>
    </row>
    <row r="2286" spans="1:7" x14ac:dyDescent="0.25">
      <c r="A2286" s="1">
        <v>45139</v>
      </c>
      <c r="B2286" t="s">
        <v>104</v>
      </c>
      <c r="C2286" t="s">
        <v>108</v>
      </c>
      <c r="D2286" s="2">
        <v>7267895.7999999998</v>
      </c>
      <c r="E2286" s="2">
        <v>17318968.34</v>
      </c>
      <c r="F2286" s="2">
        <v>17715099.510000002</v>
      </c>
      <c r="G2286" s="2">
        <v>2914382.37</v>
      </c>
    </row>
    <row r="2287" spans="1:7" x14ac:dyDescent="0.25">
      <c r="A2287" s="1">
        <v>45139</v>
      </c>
      <c r="B2287" t="s">
        <v>69</v>
      </c>
      <c r="C2287" t="s">
        <v>12</v>
      </c>
      <c r="D2287" s="2">
        <v>205569</v>
      </c>
      <c r="E2287" s="2">
        <v>177454.62</v>
      </c>
      <c r="F2287" s="2">
        <v>183576.87</v>
      </c>
      <c r="G2287" s="2">
        <v>8730</v>
      </c>
    </row>
    <row r="2288" spans="1:7" x14ac:dyDescent="0.25">
      <c r="A2288" s="1">
        <v>45139</v>
      </c>
      <c r="B2288" t="s">
        <v>37</v>
      </c>
      <c r="C2288" t="s">
        <v>22</v>
      </c>
      <c r="D2288">
        <v>0</v>
      </c>
      <c r="E2288" s="2">
        <v>151215.6</v>
      </c>
      <c r="F2288" s="2">
        <v>151215.6</v>
      </c>
      <c r="G2288">
        <v>0</v>
      </c>
    </row>
    <row r="2289" spans="1:7" x14ac:dyDescent="0.25">
      <c r="A2289" s="1">
        <v>45139</v>
      </c>
      <c r="B2289" t="s">
        <v>33</v>
      </c>
      <c r="C2289" t="s">
        <v>94</v>
      </c>
      <c r="D2289" s="2">
        <v>49172.9</v>
      </c>
      <c r="E2289" s="2">
        <v>519383.1</v>
      </c>
      <c r="F2289" s="2">
        <v>499509.46</v>
      </c>
      <c r="G2289" s="2">
        <v>11940.28</v>
      </c>
    </row>
    <row r="2290" spans="1:7" x14ac:dyDescent="0.25">
      <c r="A2290" s="1">
        <v>45139</v>
      </c>
      <c r="B2290" t="s">
        <v>65</v>
      </c>
      <c r="C2290" t="s">
        <v>22</v>
      </c>
      <c r="D2290">
        <v>0</v>
      </c>
      <c r="E2290" s="2">
        <v>92672.63</v>
      </c>
      <c r="F2290" s="2">
        <v>105967.03</v>
      </c>
      <c r="G2290">
        <v>0</v>
      </c>
    </row>
    <row r="2291" spans="1:7" x14ac:dyDescent="0.25">
      <c r="A2291" s="1">
        <v>45139</v>
      </c>
      <c r="B2291" t="s">
        <v>36</v>
      </c>
      <c r="C2291" t="s">
        <v>75</v>
      </c>
      <c r="D2291" s="2">
        <v>156709.32</v>
      </c>
      <c r="E2291" s="2">
        <v>179052.33</v>
      </c>
      <c r="F2291" s="2">
        <v>196342.83</v>
      </c>
      <c r="G2291">
        <v>220.36</v>
      </c>
    </row>
    <row r="2292" spans="1:7" x14ac:dyDescent="0.25">
      <c r="A2292" s="1">
        <v>45139</v>
      </c>
      <c r="B2292" t="s">
        <v>69</v>
      </c>
      <c r="C2292" t="s">
        <v>55</v>
      </c>
      <c r="D2292" s="2">
        <v>10414.879999999999</v>
      </c>
      <c r="E2292" s="2">
        <v>89026.77</v>
      </c>
      <c r="F2292" s="2">
        <v>104124.52</v>
      </c>
      <c r="G2292" s="2">
        <v>800000</v>
      </c>
    </row>
    <row r="2293" spans="1:7" x14ac:dyDescent="0.25">
      <c r="A2293" s="1">
        <v>45139</v>
      </c>
      <c r="B2293" t="s">
        <v>31</v>
      </c>
      <c r="C2293" t="s">
        <v>97</v>
      </c>
      <c r="D2293">
        <v>0</v>
      </c>
      <c r="E2293" s="2">
        <v>4906323989.3999996</v>
      </c>
      <c r="F2293" s="2">
        <v>4906323989.3999996</v>
      </c>
      <c r="G2293">
        <v>0</v>
      </c>
    </row>
    <row r="2294" spans="1:7" x14ac:dyDescent="0.25">
      <c r="A2294" s="1">
        <v>45139</v>
      </c>
      <c r="B2294" t="s">
        <v>23</v>
      </c>
      <c r="C2294" t="s">
        <v>90</v>
      </c>
      <c r="D2294" s="2">
        <v>50000</v>
      </c>
      <c r="E2294" s="2">
        <v>98184.09</v>
      </c>
      <c r="F2294" s="2">
        <v>848729.57</v>
      </c>
      <c r="G2294">
        <v>0</v>
      </c>
    </row>
    <row r="2295" spans="1:7" x14ac:dyDescent="0.25">
      <c r="A2295" s="1">
        <v>45139</v>
      </c>
      <c r="B2295" t="s">
        <v>47</v>
      </c>
      <c r="C2295" t="s">
        <v>14</v>
      </c>
      <c r="D2295" s="2">
        <v>27375268</v>
      </c>
      <c r="E2295" s="2">
        <v>12977694.789999999</v>
      </c>
      <c r="F2295" s="2">
        <v>12977694.789999999</v>
      </c>
      <c r="G2295" s="2">
        <v>365912.14</v>
      </c>
    </row>
    <row r="2296" spans="1:7" x14ac:dyDescent="0.25">
      <c r="A2296" s="1">
        <v>45139</v>
      </c>
      <c r="B2296" t="s">
        <v>33</v>
      </c>
      <c r="C2296" t="s">
        <v>22</v>
      </c>
      <c r="D2296" s="2">
        <v>17205007.539999999</v>
      </c>
      <c r="E2296" s="2">
        <v>1158818.32</v>
      </c>
      <c r="F2296" s="2">
        <v>29630751</v>
      </c>
      <c r="G2296" s="2">
        <v>103135.67999999999</v>
      </c>
    </row>
    <row r="2297" spans="1:7" x14ac:dyDescent="0.25">
      <c r="A2297" s="1">
        <v>45139</v>
      </c>
      <c r="B2297" t="s">
        <v>33</v>
      </c>
      <c r="C2297" t="s">
        <v>55</v>
      </c>
      <c r="D2297" s="2">
        <v>913840.85</v>
      </c>
      <c r="E2297" s="2">
        <v>353840.82</v>
      </c>
      <c r="F2297" s="2">
        <v>310187.40999999997</v>
      </c>
      <c r="G2297" s="2">
        <v>29500</v>
      </c>
    </row>
    <row r="2298" spans="1:7" x14ac:dyDescent="0.25">
      <c r="A2298" s="1">
        <v>45139</v>
      </c>
      <c r="B2298" t="s">
        <v>33</v>
      </c>
      <c r="C2298" t="s">
        <v>14</v>
      </c>
      <c r="D2298" s="2">
        <v>2578232.4300000002</v>
      </c>
      <c r="E2298" s="2">
        <v>142451726</v>
      </c>
      <c r="F2298" s="2">
        <v>136384680.25</v>
      </c>
      <c r="G2298" s="2">
        <v>13318113.949999999</v>
      </c>
    </row>
    <row r="2299" spans="1:7" x14ac:dyDescent="0.25">
      <c r="A2299" s="1">
        <v>45139</v>
      </c>
      <c r="B2299" t="s">
        <v>54</v>
      </c>
      <c r="C2299" t="s">
        <v>8</v>
      </c>
      <c r="D2299">
        <v>152.46</v>
      </c>
      <c r="E2299" s="2">
        <v>98445.24</v>
      </c>
      <c r="F2299" s="2">
        <v>150071.64000000001</v>
      </c>
      <c r="G2299" s="2">
        <v>19310.09</v>
      </c>
    </row>
    <row r="2300" spans="1:7" x14ac:dyDescent="0.25">
      <c r="A2300" s="1">
        <v>45139</v>
      </c>
      <c r="B2300" t="s">
        <v>26</v>
      </c>
      <c r="C2300" t="s">
        <v>24</v>
      </c>
      <c r="D2300" s="2">
        <v>149534.18</v>
      </c>
      <c r="E2300" s="2">
        <v>59120.65</v>
      </c>
      <c r="F2300" s="2">
        <v>63281.42</v>
      </c>
      <c r="G2300">
        <v>0</v>
      </c>
    </row>
    <row r="2301" spans="1:7" x14ac:dyDescent="0.25">
      <c r="A2301" s="1">
        <v>45139</v>
      </c>
      <c r="B2301" t="s">
        <v>9</v>
      </c>
      <c r="C2301" t="s">
        <v>72</v>
      </c>
      <c r="D2301" s="2">
        <v>23530353.100000001</v>
      </c>
      <c r="E2301" s="2">
        <v>619831.05000000005</v>
      </c>
      <c r="F2301" s="2">
        <v>63774998.640000001</v>
      </c>
      <c r="G2301">
        <v>0</v>
      </c>
    </row>
    <row r="2302" spans="1:7" x14ac:dyDescent="0.25">
      <c r="A2302" s="1">
        <v>45139</v>
      </c>
      <c r="B2302" t="s">
        <v>69</v>
      </c>
      <c r="C2302" t="s">
        <v>105</v>
      </c>
      <c r="D2302" s="2">
        <v>-507006.69</v>
      </c>
      <c r="E2302" s="2">
        <v>755093.03</v>
      </c>
      <c r="F2302" s="2">
        <v>836160.33</v>
      </c>
      <c r="G2302">
        <v>0</v>
      </c>
    </row>
    <row r="2303" spans="1:7" x14ac:dyDescent="0.25">
      <c r="A2303" s="1">
        <v>45139</v>
      </c>
      <c r="B2303" t="s">
        <v>54</v>
      </c>
      <c r="C2303" t="s">
        <v>108</v>
      </c>
      <c r="D2303" s="2">
        <v>873160.64</v>
      </c>
      <c r="E2303" s="2">
        <v>477949.06</v>
      </c>
      <c r="F2303" s="2">
        <v>456022</v>
      </c>
      <c r="G2303" s="2">
        <v>13586.24</v>
      </c>
    </row>
    <row r="2304" spans="1:7" x14ac:dyDescent="0.25">
      <c r="A2304" s="1">
        <v>45139</v>
      </c>
      <c r="B2304" t="s">
        <v>31</v>
      </c>
      <c r="C2304" t="s">
        <v>53</v>
      </c>
      <c r="D2304" s="2">
        <v>887735919.33000004</v>
      </c>
      <c r="E2304" s="2">
        <v>887728154.62</v>
      </c>
      <c r="F2304" s="2">
        <v>887728154.62</v>
      </c>
      <c r="G2304">
        <v>0</v>
      </c>
    </row>
    <row r="2305" spans="1:7" x14ac:dyDescent="0.25">
      <c r="A2305" s="1">
        <v>45139</v>
      </c>
      <c r="B2305" t="s">
        <v>7</v>
      </c>
      <c r="C2305" t="s">
        <v>94</v>
      </c>
      <c r="D2305">
        <v>0</v>
      </c>
      <c r="E2305" s="2">
        <v>43300367.810000002</v>
      </c>
      <c r="F2305" s="2">
        <v>24600254.390000001</v>
      </c>
      <c r="G2305">
        <v>0</v>
      </c>
    </row>
    <row r="2306" spans="1:7" x14ac:dyDescent="0.25">
      <c r="A2306" s="1">
        <v>45139</v>
      </c>
      <c r="B2306" t="s">
        <v>47</v>
      </c>
      <c r="C2306" t="s">
        <v>72</v>
      </c>
      <c r="D2306" s="2">
        <v>12639.95</v>
      </c>
      <c r="E2306" s="2">
        <v>141411.14000000001</v>
      </c>
      <c r="F2306" s="2">
        <v>4059776.52</v>
      </c>
      <c r="G2306">
        <v>0</v>
      </c>
    </row>
    <row r="2307" spans="1:7" x14ac:dyDescent="0.25">
      <c r="A2307" s="1">
        <v>45139</v>
      </c>
      <c r="B2307" t="s">
        <v>65</v>
      </c>
      <c r="C2307" t="s">
        <v>72</v>
      </c>
      <c r="D2307" s="2">
        <v>2826219648.0100002</v>
      </c>
      <c r="E2307" s="2">
        <v>2826562720.2800002</v>
      </c>
      <c r="F2307" s="2">
        <v>2843350480.52</v>
      </c>
      <c r="G2307" s="2">
        <v>1414600</v>
      </c>
    </row>
    <row r="2308" spans="1:7" x14ac:dyDescent="0.25">
      <c r="A2308" s="1">
        <v>45139</v>
      </c>
      <c r="B2308" t="s">
        <v>28</v>
      </c>
      <c r="C2308" t="s">
        <v>14</v>
      </c>
      <c r="D2308" s="2">
        <v>-10037379.369999999</v>
      </c>
      <c r="E2308" s="2">
        <v>28392603.800000001</v>
      </c>
      <c r="F2308" s="2">
        <v>28392603.800000001</v>
      </c>
      <c r="G2308">
        <v>0</v>
      </c>
    </row>
    <row r="2309" spans="1:7" x14ac:dyDescent="0.25">
      <c r="A2309" s="1">
        <v>45139</v>
      </c>
      <c r="B2309" t="s">
        <v>36</v>
      </c>
      <c r="C2309" t="s">
        <v>70</v>
      </c>
      <c r="D2309" s="2">
        <v>1100000</v>
      </c>
      <c r="E2309" s="2">
        <v>401727379.30000001</v>
      </c>
      <c r="F2309" s="2">
        <v>2978581719.5799999</v>
      </c>
      <c r="G2309">
        <v>0</v>
      </c>
    </row>
    <row r="2310" spans="1:7" x14ac:dyDescent="0.25">
      <c r="A2310" s="1">
        <v>45139</v>
      </c>
      <c r="B2310" t="s">
        <v>13</v>
      </c>
      <c r="C2310" t="s">
        <v>14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 s="1">
        <v>45139</v>
      </c>
      <c r="B2311" t="s">
        <v>7</v>
      </c>
      <c r="C2311" t="s">
        <v>97</v>
      </c>
      <c r="D2311" s="2">
        <v>50225650</v>
      </c>
      <c r="E2311" s="2">
        <v>14562315</v>
      </c>
      <c r="F2311" s="2">
        <v>14562315</v>
      </c>
      <c r="G2311" s="2">
        <v>4843372.76</v>
      </c>
    </row>
    <row r="2312" spans="1:7" x14ac:dyDescent="0.25">
      <c r="A2312" s="1">
        <v>45139</v>
      </c>
      <c r="B2312" t="s">
        <v>23</v>
      </c>
      <c r="C2312" t="s">
        <v>55</v>
      </c>
      <c r="D2312" s="2">
        <v>15866930.550000001</v>
      </c>
      <c r="E2312" s="2">
        <v>2493768.4900000002</v>
      </c>
      <c r="F2312" s="2">
        <v>4864238.5199999996</v>
      </c>
      <c r="G2312" s="2">
        <v>425075.27</v>
      </c>
    </row>
    <row r="2313" spans="1:7" x14ac:dyDescent="0.25">
      <c r="A2313" s="1">
        <v>45139</v>
      </c>
      <c r="B2313" t="s">
        <v>23</v>
      </c>
      <c r="C2313" t="s">
        <v>14</v>
      </c>
      <c r="D2313" s="2">
        <v>18147375.800000001</v>
      </c>
      <c r="E2313" s="2">
        <v>28932231.050000001</v>
      </c>
      <c r="F2313" s="2">
        <v>21821125.09</v>
      </c>
      <c r="G2313" s="2">
        <v>7523991.5999999996</v>
      </c>
    </row>
    <row r="2314" spans="1:7" x14ac:dyDescent="0.25">
      <c r="A2314" s="1">
        <v>45139</v>
      </c>
      <c r="B2314" t="s">
        <v>65</v>
      </c>
      <c r="C2314" t="s">
        <v>89</v>
      </c>
      <c r="D2314">
        <v>0</v>
      </c>
      <c r="E2314" s="2">
        <v>2733137.08</v>
      </c>
      <c r="F2314" s="2">
        <v>2733137.08</v>
      </c>
      <c r="G2314" s="2">
        <v>281050.53000000003</v>
      </c>
    </row>
    <row r="2315" spans="1:7" x14ac:dyDescent="0.25">
      <c r="A2315" s="1">
        <v>45139</v>
      </c>
      <c r="B2315" t="s">
        <v>62</v>
      </c>
      <c r="C2315" t="s">
        <v>107</v>
      </c>
      <c r="D2315" s="2">
        <v>85907399.409999996</v>
      </c>
      <c r="E2315" s="2">
        <v>5499206.5</v>
      </c>
      <c r="F2315" s="2">
        <v>11571327.34</v>
      </c>
      <c r="G2315" s="2">
        <v>5041199.87</v>
      </c>
    </row>
    <row r="2316" spans="1:7" x14ac:dyDescent="0.25">
      <c r="A2316" s="1">
        <v>45139</v>
      </c>
      <c r="B2316" t="s">
        <v>23</v>
      </c>
      <c r="C2316" t="s">
        <v>75</v>
      </c>
      <c r="D2316" s="2">
        <v>1975542.35</v>
      </c>
      <c r="E2316" s="2">
        <v>1533544.67</v>
      </c>
      <c r="F2316" s="2">
        <v>1846616.49</v>
      </c>
      <c r="G2316" s="2">
        <v>472134.94</v>
      </c>
    </row>
    <row r="2317" spans="1:7" x14ac:dyDescent="0.25">
      <c r="A2317" s="1">
        <v>45139</v>
      </c>
      <c r="B2317" t="s">
        <v>54</v>
      </c>
      <c r="C2317" t="s">
        <v>100</v>
      </c>
      <c r="D2317" s="2">
        <v>1094213.07</v>
      </c>
      <c r="E2317" s="2">
        <v>838377.79</v>
      </c>
      <c r="F2317" s="2">
        <v>1228352.08</v>
      </c>
      <c r="G2317" s="2">
        <v>1043561.4</v>
      </c>
    </row>
    <row r="2318" spans="1:7" x14ac:dyDescent="0.25">
      <c r="A2318" s="1">
        <v>45139</v>
      </c>
      <c r="B2318" t="s">
        <v>28</v>
      </c>
      <c r="C2318" t="s">
        <v>75</v>
      </c>
      <c r="D2318" s="2">
        <v>60538.879999999997</v>
      </c>
      <c r="E2318" s="2">
        <v>46611.74</v>
      </c>
      <c r="F2318" s="2">
        <v>211099.75</v>
      </c>
      <c r="G2318">
        <v>0</v>
      </c>
    </row>
    <row r="2319" spans="1:7" x14ac:dyDescent="0.25">
      <c r="A2319" s="1">
        <v>45139</v>
      </c>
      <c r="B2319" t="s">
        <v>62</v>
      </c>
      <c r="C2319" t="s">
        <v>72</v>
      </c>
      <c r="D2319" s="2">
        <v>75332.59</v>
      </c>
      <c r="E2319" s="2">
        <v>109720.84</v>
      </c>
      <c r="F2319" s="2">
        <v>5810237.4100000001</v>
      </c>
      <c r="G2319">
        <v>0</v>
      </c>
    </row>
    <row r="2320" spans="1:7" x14ac:dyDescent="0.25">
      <c r="A2320" s="1">
        <v>45139</v>
      </c>
      <c r="B2320" t="s">
        <v>91</v>
      </c>
      <c r="C2320" t="s">
        <v>79</v>
      </c>
      <c r="D2320" s="2">
        <v>-5970559.1399999997</v>
      </c>
      <c r="E2320" s="2">
        <v>3232317.78</v>
      </c>
      <c r="F2320" s="2">
        <v>3247629.91</v>
      </c>
      <c r="G2320" s="2">
        <v>7360071.29</v>
      </c>
    </row>
    <row r="2321" spans="1:7" x14ac:dyDescent="0.25">
      <c r="A2321" s="1">
        <v>45139</v>
      </c>
      <c r="B2321" t="s">
        <v>91</v>
      </c>
      <c r="C2321" t="s">
        <v>72</v>
      </c>
      <c r="D2321" s="2">
        <v>7124565.7199999997</v>
      </c>
      <c r="E2321" s="2">
        <v>949193.4</v>
      </c>
      <c r="F2321" s="2">
        <v>14472107.210000001</v>
      </c>
      <c r="G2321">
        <v>0</v>
      </c>
    </row>
    <row r="2322" spans="1:7" x14ac:dyDescent="0.25">
      <c r="A2322" s="1">
        <v>45139</v>
      </c>
      <c r="B2322" t="s">
        <v>7</v>
      </c>
      <c r="C2322" t="s">
        <v>22</v>
      </c>
      <c r="D2322" s="2">
        <v>46108612.520000003</v>
      </c>
      <c r="E2322" s="2">
        <v>7955017.2699999996</v>
      </c>
      <c r="F2322" s="2">
        <v>15749532.380000001</v>
      </c>
      <c r="G2322">
        <v>0</v>
      </c>
    </row>
    <row r="2323" spans="1:7" x14ac:dyDescent="0.25">
      <c r="A2323" s="1">
        <v>45139</v>
      </c>
      <c r="B2323" t="s">
        <v>17</v>
      </c>
      <c r="C2323" t="s">
        <v>113</v>
      </c>
      <c r="D2323" s="2">
        <v>64623265.68</v>
      </c>
      <c r="E2323" s="2">
        <v>209551500.00999999</v>
      </c>
      <c r="F2323" s="2">
        <v>204578825.78999999</v>
      </c>
      <c r="G2323" s="2">
        <v>36305468.32</v>
      </c>
    </row>
    <row r="2324" spans="1:7" x14ac:dyDescent="0.25">
      <c r="A2324" s="1">
        <v>45139</v>
      </c>
      <c r="B2324" t="s">
        <v>7</v>
      </c>
      <c r="C2324" t="s">
        <v>8</v>
      </c>
      <c r="D2324" s="2">
        <v>6180535.04</v>
      </c>
      <c r="E2324" s="2">
        <v>2107460.04</v>
      </c>
      <c r="F2324" s="2">
        <v>213443.05</v>
      </c>
      <c r="G2324" s="2">
        <v>271862.99</v>
      </c>
    </row>
    <row r="2325" spans="1:7" x14ac:dyDescent="0.25">
      <c r="A2325" s="1">
        <v>45139</v>
      </c>
      <c r="B2325" t="s">
        <v>23</v>
      </c>
      <c r="C2325" t="s">
        <v>103</v>
      </c>
      <c r="D2325" s="2">
        <v>3332359.34</v>
      </c>
      <c r="E2325" s="2">
        <v>4156627</v>
      </c>
      <c r="F2325" s="2">
        <v>138164.98000000001</v>
      </c>
      <c r="G2325" s="2">
        <v>1139489.44</v>
      </c>
    </row>
    <row r="2326" spans="1:7" x14ac:dyDescent="0.25">
      <c r="A2326" s="1">
        <v>45139</v>
      </c>
      <c r="B2326" t="s">
        <v>26</v>
      </c>
      <c r="C2326" t="s">
        <v>48</v>
      </c>
      <c r="D2326" s="2">
        <v>5124068.8499999996</v>
      </c>
      <c r="E2326" s="2">
        <v>60216.12</v>
      </c>
      <c r="F2326" s="2">
        <v>54451.11</v>
      </c>
      <c r="G2326" s="2">
        <v>273861.82</v>
      </c>
    </row>
    <row r="2327" spans="1:7" x14ac:dyDescent="0.25">
      <c r="A2327" s="1">
        <v>45139</v>
      </c>
      <c r="B2327" t="s">
        <v>36</v>
      </c>
      <c r="C2327" t="s">
        <v>57</v>
      </c>
      <c r="D2327" s="2">
        <v>45853382.710000001</v>
      </c>
      <c r="E2327" s="2">
        <v>13515482.199999999</v>
      </c>
      <c r="F2327" s="2">
        <v>10592521.85</v>
      </c>
      <c r="G2327" s="2">
        <v>87808.39</v>
      </c>
    </row>
    <row r="2328" spans="1:7" x14ac:dyDescent="0.25">
      <c r="A2328" s="1">
        <v>45139</v>
      </c>
      <c r="B2328" t="s">
        <v>27</v>
      </c>
      <c r="C2328" t="s">
        <v>14</v>
      </c>
      <c r="D2328">
        <v>0</v>
      </c>
      <c r="E2328">
        <v>0</v>
      </c>
      <c r="F2328">
        <v>0</v>
      </c>
      <c r="G2328" s="2">
        <v>20869350.550000001</v>
      </c>
    </row>
    <row r="2329" spans="1:7" x14ac:dyDescent="0.25">
      <c r="A2329" s="1">
        <v>45139</v>
      </c>
      <c r="B2329" t="s">
        <v>7</v>
      </c>
      <c r="C2329" t="s">
        <v>55</v>
      </c>
      <c r="D2329" s="2">
        <v>54839068.149999999</v>
      </c>
      <c r="E2329" s="2">
        <v>54191738</v>
      </c>
      <c r="F2329" s="2">
        <v>53977414.789999999</v>
      </c>
      <c r="G2329" s="2">
        <v>236801.35</v>
      </c>
    </row>
    <row r="2330" spans="1:7" x14ac:dyDescent="0.25">
      <c r="A2330" s="1">
        <v>45139</v>
      </c>
      <c r="B2330" t="s">
        <v>33</v>
      </c>
      <c r="C2330" t="s">
        <v>99</v>
      </c>
      <c r="D2330" s="2">
        <v>13457003.960000001</v>
      </c>
      <c r="E2330" s="2">
        <v>24820325.690000001</v>
      </c>
      <c r="F2330" s="2">
        <v>25939646.18</v>
      </c>
      <c r="G2330" s="2">
        <v>3536420.67</v>
      </c>
    </row>
    <row r="2331" spans="1:7" x14ac:dyDescent="0.25">
      <c r="A2331" s="1">
        <v>45139</v>
      </c>
      <c r="B2331" t="s">
        <v>33</v>
      </c>
      <c r="C2331" t="s">
        <v>75</v>
      </c>
      <c r="D2331" s="2">
        <v>16997413.170000002</v>
      </c>
      <c r="E2331" s="2">
        <v>18512891.77</v>
      </c>
      <c r="F2331" s="2">
        <v>22121310.48</v>
      </c>
      <c r="G2331" s="2">
        <v>17998041.489999998</v>
      </c>
    </row>
    <row r="2332" spans="1:7" x14ac:dyDescent="0.25">
      <c r="A2332" s="1">
        <v>45139</v>
      </c>
      <c r="B2332" t="s">
        <v>15</v>
      </c>
      <c r="C2332" t="s">
        <v>88</v>
      </c>
      <c r="D2332" s="2">
        <v>479657.44</v>
      </c>
      <c r="E2332" s="2">
        <v>2895487.25</v>
      </c>
      <c r="F2332" s="2">
        <v>2892947.62</v>
      </c>
      <c r="G2332" s="2">
        <v>342705.69</v>
      </c>
    </row>
    <row r="2333" spans="1:7" x14ac:dyDescent="0.25">
      <c r="A2333" s="1">
        <v>45139</v>
      </c>
      <c r="B2333" t="s">
        <v>33</v>
      </c>
      <c r="C2333" t="s">
        <v>100</v>
      </c>
      <c r="D2333" s="2">
        <v>62200.17</v>
      </c>
      <c r="E2333" s="2">
        <v>45226.18</v>
      </c>
      <c r="F2333" s="2">
        <v>52837.41</v>
      </c>
      <c r="G2333">
        <v>0</v>
      </c>
    </row>
    <row r="2334" spans="1:7" x14ac:dyDescent="0.25">
      <c r="A2334" s="1">
        <v>45139</v>
      </c>
      <c r="B2334" t="s">
        <v>54</v>
      </c>
      <c r="C2334" t="s">
        <v>55</v>
      </c>
      <c r="D2334" s="2">
        <v>114600.46</v>
      </c>
      <c r="E2334" s="2">
        <v>146986.97</v>
      </c>
      <c r="F2334" s="2">
        <v>149499.44</v>
      </c>
      <c r="G2334" s="2">
        <v>5997.06</v>
      </c>
    </row>
    <row r="2335" spans="1:7" x14ac:dyDescent="0.25">
      <c r="A2335" s="1">
        <v>45139</v>
      </c>
      <c r="B2335" t="s">
        <v>28</v>
      </c>
      <c r="C2335" t="s">
        <v>25</v>
      </c>
      <c r="D2335">
        <v>0</v>
      </c>
      <c r="E2335">
        <v>0</v>
      </c>
      <c r="F2335">
        <v>0</v>
      </c>
      <c r="G2335" s="2">
        <v>18940</v>
      </c>
    </row>
    <row r="2336" spans="1:7" x14ac:dyDescent="0.25">
      <c r="A2336" s="1">
        <v>45139</v>
      </c>
      <c r="B2336" t="s">
        <v>62</v>
      </c>
      <c r="C2336" t="s">
        <v>64</v>
      </c>
      <c r="D2336" s="2">
        <v>21420702.739999998</v>
      </c>
      <c r="E2336" s="2">
        <v>6952692.4400000004</v>
      </c>
      <c r="F2336" s="2">
        <v>6093998.3399999999</v>
      </c>
      <c r="G2336" s="2">
        <v>1945602.3</v>
      </c>
    </row>
    <row r="2337" spans="1:7" x14ac:dyDescent="0.25">
      <c r="A2337" s="1">
        <v>45139</v>
      </c>
      <c r="B2337" t="s">
        <v>54</v>
      </c>
      <c r="C2337" t="s">
        <v>79</v>
      </c>
      <c r="D2337" s="2">
        <v>96747.89</v>
      </c>
      <c r="E2337" s="2">
        <v>39766.29</v>
      </c>
      <c r="F2337" s="2">
        <v>23829.95</v>
      </c>
      <c r="G2337">
        <v>686.73</v>
      </c>
    </row>
    <row r="2338" spans="1:7" x14ac:dyDescent="0.25">
      <c r="A2338" s="1">
        <v>45139</v>
      </c>
      <c r="B2338" t="s">
        <v>91</v>
      </c>
      <c r="C2338" t="s">
        <v>109</v>
      </c>
      <c r="D2338" s="2">
        <v>115386091.03</v>
      </c>
      <c r="E2338" s="2">
        <v>154009506.06999999</v>
      </c>
      <c r="F2338" s="2">
        <v>152634120.19999999</v>
      </c>
      <c r="G2338" s="2">
        <v>2129136.9500000002</v>
      </c>
    </row>
    <row r="2339" spans="1:7" x14ac:dyDescent="0.25">
      <c r="A2339" s="1">
        <v>45139</v>
      </c>
      <c r="B2339" t="s">
        <v>52</v>
      </c>
      <c r="C2339" t="s">
        <v>57</v>
      </c>
      <c r="D2339" s="2">
        <v>13106479.460000001</v>
      </c>
      <c r="E2339" s="2">
        <v>15263908.550000001</v>
      </c>
      <c r="F2339" s="2">
        <v>83960347.489999995</v>
      </c>
      <c r="G2339" s="2">
        <v>7197.25</v>
      </c>
    </row>
    <row r="2340" spans="1:7" x14ac:dyDescent="0.25">
      <c r="A2340" s="1">
        <v>45139</v>
      </c>
      <c r="B2340" t="s">
        <v>17</v>
      </c>
      <c r="C2340" t="s">
        <v>86</v>
      </c>
      <c r="D2340" s="2">
        <v>40809.879999999997</v>
      </c>
      <c r="E2340" s="2">
        <v>1841025.42</v>
      </c>
      <c r="F2340" s="2">
        <v>2279792.4700000002</v>
      </c>
      <c r="G2340" s="2">
        <v>16996.2</v>
      </c>
    </row>
    <row r="2341" spans="1:7" x14ac:dyDescent="0.25">
      <c r="A2341" s="1">
        <v>45139</v>
      </c>
      <c r="B2341" t="s">
        <v>36</v>
      </c>
      <c r="C2341" t="s">
        <v>38</v>
      </c>
      <c r="D2341" s="2">
        <v>1310132</v>
      </c>
      <c r="E2341" s="2">
        <v>558702958.11000001</v>
      </c>
      <c r="F2341" s="2">
        <v>3597359200.54</v>
      </c>
      <c r="G2341">
        <v>0</v>
      </c>
    </row>
    <row r="2342" spans="1:7" x14ac:dyDescent="0.25">
      <c r="A2342" s="1">
        <v>45139</v>
      </c>
      <c r="B2342" t="s">
        <v>54</v>
      </c>
      <c r="C2342" t="s">
        <v>101</v>
      </c>
      <c r="D2342" s="2">
        <v>14826956.939999999</v>
      </c>
      <c r="E2342" s="2">
        <v>2973547.93</v>
      </c>
      <c r="F2342" s="2">
        <v>4165280.15</v>
      </c>
      <c r="G2342" s="2">
        <v>66701200.939999998</v>
      </c>
    </row>
    <row r="2343" spans="1:7" x14ac:dyDescent="0.25">
      <c r="A2343" s="1">
        <v>45139</v>
      </c>
      <c r="B2343" t="s">
        <v>54</v>
      </c>
      <c r="C2343" t="s">
        <v>117</v>
      </c>
      <c r="D2343" s="2">
        <v>3474587.72</v>
      </c>
      <c r="E2343" s="2">
        <v>8847952.1300000008</v>
      </c>
      <c r="F2343" s="2">
        <v>14700181.48</v>
      </c>
      <c r="G2343">
        <v>0</v>
      </c>
    </row>
    <row r="2344" spans="1:7" x14ac:dyDescent="0.25">
      <c r="A2344" s="1">
        <v>45139</v>
      </c>
      <c r="B2344" t="s">
        <v>54</v>
      </c>
      <c r="C2344" t="s">
        <v>110</v>
      </c>
      <c r="D2344" s="2">
        <v>3911.29</v>
      </c>
      <c r="E2344" s="2">
        <v>188148.58</v>
      </c>
      <c r="F2344" s="2">
        <v>140599.29</v>
      </c>
      <c r="G2344">
        <v>0</v>
      </c>
    </row>
    <row r="2345" spans="1:7" x14ac:dyDescent="0.25">
      <c r="A2345" s="1">
        <v>45139</v>
      </c>
      <c r="B2345" t="s">
        <v>33</v>
      </c>
      <c r="C2345" t="s">
        <v>76</v>
      </c>
      <c r="D2345" s="2">
        <v>6595888.4100000001</v>
      </c>
      <c r="E2345" s="2">
        <v>7026102.0499999998</v>
      </c>
      <c r="F2345" s="2">
        <v>10735234.439999999</v>
      </c>
      <c r="G2345">
        <v>0</v>
      </c>
    </row>
    <row r="2346" spans="1:7" x14ac:dyDescent="0.25">
      <c r="A2346" s="1">
        <v>45139</v>
      </c>
      <c r="B2346" t="s">
        <v>17</v>
      </c>
      <c r="C2346" t="s">
        <v>93</v>
      </c>
      <c r="D2346" s="2">
        <v>2899880.66</v>
      </c>
      <c r="E2346" s="2">
        <v>1716560.7</v>
      </c>
      <c r="F2346" s="2">
        <v>1764943.21</v>
      </c>
      <c r="G2346" s="2">
        <v>1102188.26</v>
      </c>
    </row>
    <row r="2347" spans="1:7" x14ac:dyDescent="0.25">
      <c r="A2347" s="1">
        <v>45139</v>
      </c>
      <c r="B2347" t="s">
        <v>52</v>
      </c>
      <c r="C2347" t="s">
        <v>72</v>
      </c>
      <c r="D2347" s="2">
        <v>3286869.17</v>
      </c>
      <c r="E2347" s="2">
        <v>1989130.58</v>
      </c>
      <c r="F2347" s="2">
        <v>10437761.75</v>
      </c>
      <c r="G2347">
        <v>0</v>
      </c>
    </row>
    <row r="2348" spans="1:7" x14ac:dyDescent="0.25">
      <c r="A2348" s="1">
        <v>45139</v>
      </c>
      <c r="B2348" t="s">
        <v>47</v>
      </c>
      <c r="C2348" t="s">
        <v>76</v>
      </c>
      <c r="D2348" s="2">
        <v>-18783.66</v>
      </c>
      <c r="E2348" s="2">
        <v>19600219.859999999</v>
      </c>
      <c r="F2348" s="2">
        <v>14177505.310000001</v>
      </c>
      <c r="G2348" s="2">
        <v>1536364.58</v>
      </c>
    </row>
    <row r="2349" spans="1:7" x14ac:dyDescent="0.25">
      <c r="A2349" s="1">
        <v>45139</v>
      </c>
      <c r="B2349" t="s">
        <v>91</v>
      </c>
      <c r="C2349" t="s">
        <v>75</v>
      </c>
      <c r="D2349" s="2">
        <v>1244271.3500000001</v>
      </c>
      <c r="E2349" s="2">
        <v>10634761.41</v>
      </c>
      <c r="F2349" s="2">
        <v>9419214.0099999998</v>
      </c>
      <c r="G2349" s="2">
        <v>244436.3</v>
      </c>
    </row>
    <row r="2350" spans="1:7" x14ac:dyDescent="0.25">
      <c r="A2350" s="1">
        <v>45139</v>
      </c>
      <c r="B2350" t="s">
        <v>69</v>
      </c>
      <c r="C2350" t="s">
        <v>77</v>
      </c>
      <c r="D2350" s="2">
        <v>452000</v>
      </c>
      <c r="E2350" s="2">
        <v>48213.48</v>
      </c>
      <c r="F2350" s="2">
        <v>48213.48</v>
      </c>
      <c r="G2350">
        <v>0</v>
      </c>
    </row>
    <row r="2351" spans="1:7" x14ac:dyDescent="0.25">
      <c r="A2351" s="1">
        <v>45139</v>
      </c>
      <c r="B2351" t="s">
        <v>7</v>
      </c>
      <c r="C2351" t="s">
        <v>78</v>
      </c>
      <c r="D2351">
        <v>0</v>
      </c>
      <c r="E2351">
        <v>0</v>
      </c>
      <c r="F2351">
        <v>0</v>
      </c>
      <c r="G2351" s="2">
        <v>88214.18</v>
      </c>
    </row>
    <row r="2352" spans="1:7" x14ac:dyDescent="0.25">
      <c r="A2352" s="1">
        <v>45139</v>
      </c>
      <c r="B2352" t="s">
        <v>52</v>
      </c>
      <c r="C2352" t="s">
        <v>118</v>
      </c>
      <c r="D2352" s="2">
        <v>26111967.199999999</v>
      </c>
      <c r="E2352" s="2">
        <v>19749392.030000001</v>
      </c>
      <c r="F2352" s="2">
        <v>19732936.629999999</v>
      </c>
      <c r="G2352" s="2">
        <v>7675447.8600000003</v>
      </c>
    </row>
    <row r="2353" spans="1:7" x14ac:dyDescent="0.25">
      <c r="A2353" s="1">
        <v>45139</v>
      </c>
      <c r="B2353" t="s">
        <v>43</v>
      </c>
      <c r="C2353" t="s">
        <v>112</v>
      </c>
      <c r="D2353" s="2">
        <v>345234.72</v>
      </c>
      <c r="E2353" s="2">
        <v>408566.79</v>
      </c>
      <c r="F2353" s="2">
        <v>459287.69</v>
      </c>
      <c r="G2353">
        <v>0</v>
      </c>
    </row>
    <row r="2354" spans="1:7" x14ac:dyDescent="0.25">
      <c r="A2354" s="1">
        <v>45139</v>
      </c>
      <c r="B2354" t="s">
        <v>43</v>
      </c>
      <c r="C2354" t="s">
        <v>25</v>
      </c>
      <c r="D2354" s="2">
        <v>1498521.05</v>
      </c>
      <c r="E2354" s="2">
        <v>458553.03</v>
      </c>
      <c r="F2354" s="2">
        <v>463719.06</v>
      </c>
      <c r="G2354">
        <v>0</v>
      </c>
    </row>
    <row r="2355" spans="1:7" x14ac:dyDescent="0.25">
      <c r="A2355" s="1">
        <v>45139</v>
      </c>
      <c r="B2355" t="s">
        <v>43</v>
      </c>
      <c r="C2355" t="s">
        <v>75</v>
      </c>
      <c r="D2355" s="2">
        <v>10509907.539999999</v>
      </c>
      <c r="E2355" s="2">
        <v>41399088.869999997</v>
      </c>
      <c r="F2355" s="2">
        <v>41395417.969999999</v>
      </c>
      <c r="G2355">
        <v>0</v>
      </c>
    </row>
    <row r="2356" spans="1:7" x14ac:dyDescent="0.25">
      <c r="A2356" s="1">
        <v>45139</v>
      </c>
      <c r="B2356" t="s">
        <v>65</v>
      </c>
      <c r="C2356" t="s">
        <v>75</v>
      </c>
      <c r="D2356" s="2">
        <v>981912.11</v>
      </c>
      <c r="E2356" s="2">
        <v>1967507.9</v>
      </c>
      <c r="F2356" s="2">
        <v>2125943.9500000002</v>
      </c>
      <c r="G2356" s="2">
        <v>20961.39</v>
      </c>
    </row>
    <row r="2357" spans="1:7" x14ac:dyDescent="0.25">
      <c r="A2357" s="1">
        <v>45139</v>
      </c>
      <c r="B2357" t="s">
        <v>28</v>
      </c>
      <c r="C2357" t="s">
        <v>90</v>
      </c>
      <c r="D2357" s="2">
        <v>-407835.92</v>
      </c>
      <c r="E2357" s="2">
        <v>611929.9</v>
      </c>
      <c r="F2357" s="2">
        <v>620178.4</v>
      </c>
      <c r="G2357">
        <v>0</v>
      </c>
    </row>
    <row r="2358" spans="1:7" x14ac:dyDescent="0.25">
      <c r="A2358" s="1">
        <v>45139</v>
      </c>
      <c r="B2358" t="s">
        <v>54</v>
      </c>
      <c r="C2358" t="s">
        <v>102</v>
      </c>
      <c r="D2358" s="2">
        <v>2594250.48</v>
      </c>
      <c r="E2358" s="2">
        <v>3068998.47</v>
      </c>
      <c r="F2358" s="2">
        <v>3586866.45</v>
      </c>
      <c r="G2358" s="2">
        <v>303271.42</v>
      </c>
    </row>
    <row r="2359" spans="1:7" x14ac:dyDescent="0.25">
      <c r="A2359" s="1">
        <v>45139</v>
      </c>
      <c r="B2359" t="s">
        <v>69</v>
      </c>
      <c r="C2359" t="s">
        <v>57</v>
      </c>
      <c r="D2359" s="2">
        <v>10786012.880000001</v>
      </c>
      <c r="E2359" s="2">
        <v>25845322.59</v>
      </c>
      <c r="F2359" s="2">
        <v>129213443.36</v>
      </c>
      <c r="G2359" s="2">
        <v>2331918.85</v>
      </c>
    </row>
    <row r="2360" spans="1:7" x14ac:dyDescent="0.25">
      <c r="A2360" s="1">
        <v>45139</v>
      </c>
      <c r="B2360" t="s">
        <v>43</v>
      </c>
      <c r="C2360" t="s">
        <v>12</v>
      </c>
      <c r="D2360" s="2">
        <v>534088.95999999996</v>
      </c>
      <c r="E2360" s="2">
        <v>195484.83</v>
      </c>
      <c r="F2360" s="2">
        <v>279376.81</v>
      </c>
      <c r="G2360">
        <v>0</v>
      </c>
    </row>
    <row r="2361" spans="1:7" x14ac:dyDescent="0.25">
      <c r="A2361" s="1">
        <v>45139</v>
      </c>
      <c r="B2361" t="s">
        <v>33</v>
      </c>
      <c r="C2361" t="s">
        <v>72</v>
      </c>
      <c r="D2361" s="2">
        <v>21139317.41</v>
      </c>
      <c r="E2361" s="2">
        <v>8851491.4100000001</v>
      </c>
      <c r="F2361" s="2">
        <v>164196430.50999999</v>
      </c>
      <c r="G2361">
        <v>0</v>
      </c>
    </row>
    <row r="2362" spans="1:7" x14ac:dyDescent="0.25">
      <c r="A2362" s="1">
        <v>45139</v>
      </c>
      <c r="B2362" t="s">
        <v>91</v>
      </c>
      <c r="C2362" t="s">
        <v>98</v>
      </c>
      <c r="D2362" s="2">
        <v>1358599.88</v>
      </c>
      <c r="E2362" s="2">
        <v>1598812.57</v>
      </c>
      <c r="F2362" s="2">
        <v>1024064.29</v>
      </c>
      <c r="G2362" s="2">
        <v>4877048.16</v>
      </c>
    </row>
    <row r="2363" spans="1:7" x14ac:dyDescent="0.25">
      <c r="A2363" s="1">
        <v>45139</v>
      </c>
      <c r="B2363" t="s">
        <v>21</v>
      </c>
      <c r="C2363" t="s">
        <v>39</v>
      </c>
      <c r="D2363" s="2">
        <v>6524427</v>
      </c>
      <c r="E2363" s="2">
        <v>1261.92</v>
      </c>
      <c r="F2363">
        <v>281.83</v>
      </c>
      <c r="G2363">
        <v>0</v>
      </c>
    </row>
    <row r="2364" spans="1:7" x14ac:dyDescent="0.25">
      <c r="A2364" s="1">
        <v>45139</v>
      </c>
      <c r="B2364" t="s">
        <v>9</v>
      </c>
      <c r="C2364" t="s">
        <v>106</v>
      </c>
      <c r="D2364" s="2">
        <v>67357064.060000002</v>
      </c>
      <c r="E2364" s="2">
        <v>6947801.9299999997</v>
      </c>
      <c r="F2364" s="2">
        <v>7279674.5499999998</v>
      </c>
      <c r="G2364" s="2">
        <v>22537947.420000002</v>
      </c>
    </row>
    <row r="2365" spans="1:7" x14ac:dyDescent="0.25">
      <c r="A2365" s="1">
        <v>45139</v>
      </c>
      <c r="B2365" t="s">
        <v>47</v>
      </c>
      <c r="C2365" t="s">
        <v>57</v>
      </c>
      <c r="D2365" s="2">
        <v>3370924</v>
      </c>
      <c r="E2365" s="2">
        <v>14929219.609999999</v>
      </c>
      <c r="F2365" s="2">
        <v>76031955.170000002</v>
      </c>
      <c r="G2365" s="2">
        <v>370784.71</v>
      </c>
    </row>
    <row r="2366" spans="1:7" x14ac:dyDescent="0.25">
      <c r="A2366" s="1">
        <v>45139</v>
      </c>
      <c r="B2366" t="s">
        <v>26</v>
      </c>
      <c r="C2366" t="s">
        <v>22</v>
      </c>
      <c r="D2366">
        <v>0</v>
      </c>
      <c r="E2366" s="2">
        <v>4603.18</v>
      </c>
      <c r="F2366" s="2">
        <v>4603.18</v>
      </c>
      <c r="G2366">
        <v>0</v>
      </c>
    </row>
    <row r="2367" spans="1:7" x14ac:dyDescent="0.25">
      <c r="A2367" s="1">
        <v>45139</v>
      </c>
      <c r="B2367" t="s">
        <v>33</v>
      </c>
      <c r="C2367" t="s">
        <v>24</v>
      </c>
      <c r="D2367" s="2">
        <v>131598.39999999999</v>
      </c>
      <c r="E2367" s="2">
        <v>370871.78</v>
      </c>
      <c r="F2367" s="2">
        <v>402808.81</v>
      </c>
      <c r="G2367">
        <v>0</v>
      </c>
    </row>
    <row r="2368" spans="1:7" x14ac:dyDescent="0.25">
      <c r="A2368" s="1">
        <v>45139</v>
      </c>
      <c r="B2368" t="s">
        <v>104</v>
      </c>
      <c r="C2368" t="s">
        <v>74</v>
      </c>
      <c r="D2368" s="2">
        <v>26660742.82</v>
      </c>
      <c r="E2368" s="2">
        <v>6641672.2000000002</v>
      </c>
      <c r="F2368" s="2">
        <v>3893528.4</v>
      </c>
      <c r="G2368" s="2">
        <v>8567336.6699999999</v>
      </c>
    </row>
    <row r="2369" spans="1:7" x14ac:dyDescent="0.25">
      <c r="A2369" s="1">
        <v>45139</v>
      </c>
      <c r="B2369" t="s">
        <v>54</v>
      </c>
      <c r="C2369" t="s">
        <v>10</v>
      </c>
      <c r="D2369" s="2">
        <v>15212217.539999999</v>
      </c>
      <c r="E2369" s="2">
        <v>11101413.65</v>
      </c>
      <c r="F2369" s="2">
        <v>11700256.52</v>
      </c>
      <c r="G2369" s="2">
        <v>12573839.07</v>
      </c>
    </row>
    <row r="2370" spans="1:7" x14ac:dyDescent="0.25">
      <c r="A2370" s="1">
        <v>45139</v>
      </c>
      <c r="B2370" t="s">
        <v>23</v>
      </c>
      <c r="C2370" t="s">
        <v>110</v>
      </c>
      <c r="D2370" s="2">
        <v>973586523.26999998</v>
      </c>
      <c r="E2370" s="2">
        <v>1389463890.99</v>
      </c>
      <c r="F2370" s="2">
        <v>2016609588.47</v>
      </c>
      <c r="G2370" s="2">
        <v>75591270.409999996</v>
      </c>
    </row>
    <row r="2371" spans="1:7" x14ac:dyDescent="0.25">
      <c r="A2371" s="1">
        <v>45139</v>
      </c>
      <c r="B2371" t="s">
        <v>91</v>
      </c>
      <c r="C2371" t="s">
        <v>111</v>
      </c>
      <c r="D2371" s="2">
        <v>1421464.25</v>
      </c>
      <c r="E2371" s="2">
        <v>1196305.3500000001</v>
      </c>
      <c r="F2371" s="2">
        <v>1101268.51</v>
      </c>
      <c r="G2371" s="2">
        <v>2696574.57</v>
      </c>
    </row>
    <row r="2372" spans="1:7" x14ac:dyDescent="0.25">
      <c r="A2372" s="1">
        <v>45139</v>
      </c>
      <c r="B2372" t="s">
        <v>54</v>
      </c>
      <c r="C2372" t="s">
        <v>71</v>
      </c>
      <c r="D2372" s="2">
        <v>4901189.3499999996</v>
      </c>
      <c r="E2372" s="2">
        <v>1090003.1100000001</v>
      </c>
      <c r="F2372" s="2">
        <v>1014071.87</v>
      </c>
      <c r="G2372" s="2">
        <v>321263.90000000002</v>
      </c>
    </row>
    <row r="2373" spans="1:7" x14ac:dyDescent="0.25">
      <c r="A2373" s="1">
        <v>45139</v>
      </c>
      <c r="B2373" t="s">
        <v>26</v>
      </c>
      <c r="C2373" t="s">
        <v>18</v>
      </c>
      <c r="D2373" s="2">
        <v>134143432.08</v>
      </c>
      <c r="E2373" s="2">
        <v>27794856.859999999</v>
      </c>
      <c r="F2373" s="2">
        <v>21100765.149999999</v>
      </c>
      <c r="G2373" s="2">
        <v>6701624.5899999999</v>
      </c>
    </row>
    <row r="2374" spans="1:7" x14ac:dyDescent="0.25">
      <c r="A2374" s="1">
        <v>45139</v>
      </c>
      <c r="B2374" t="s">
        <v>87</v>
      </c>
      <c r="C2374" t="s">
        <v>77</v>
      </c>
      <c r="D2374" s="2">
        <v>-9813159.3000000007</v>
      </c>
      <c r="E2374" s="2">
        <v>13027648.300000001</v>
      </c>
      <c r="F2374" s="2">
        <v>13031586.15</v>
      </c>
      <c r="G2374" s="2">
        <v>23026770</v>
      </c>
    </row>
    <row r="2375" spans="1:7" x14ac:dyDescent="0.25">
      <c r="A2375" s="1">
        <v>45139</v>
      </c>
      <c r="B2375" t="s">
        <v>43</v>
      </c>
      <c r="C2375" t="s">
        <v>14</v>
      </c>
      <c r="D2375" s="2">
        <v>761889.8</v>
      </c>
      <c r="E2375" s="2">
        <v>2178666.2599999998</v>
      </c>
      <c r="F2375" s="2">
        <v>2092290.12</v>
      </c>
      <c r="G2375" s="2">
        <v>84862.58</v>
      </c>
    </row>
    <row r="2376" spans="1:7" x14ac:dyDescent="0.25">
      <c r="A2376" s="1">
        <v>45139</v>
      </c>
      <c r="B2376" t="s">
        <v>33</v>
      </c>
      <c r="C2376" t="s">
        <v>119</v>
      </c>
      <c r="D2376" s="2">
        <v>9528288</v>
      </c>
      <c r="E2376" s="2">
        <v>13694589.85</v>
      </c>
      <c r="F2376" s="2">
        <v>10635609.5</v>
      </c>
      <c r="G2376" s="2">
        <v>27594.31</v>
      </c>
    </row>
    <row r="2377" spans="1:7" x14ac:dyDescent="0.25">
      <c r="A2377" s="1">
        <v>45139</v>
      </c>
      <c r="B2377" t="s">
        <v>54</v>
      </c>
      <c r="C2377" t="s">
        <v>16</v>
      </c>
      <c r="D2377" s="2">
        <v>-38636.370000000003</v>
      </c>
      <c r="E2377" s="2">
        <v>274791.19</v>
      </c>
      <c r="F2377" s="2">
        <v>213601.83</v>
      </c>
      <c r="G2377">
        <v>0</v>
      </c>
    </row>
    <row r="2378" spans="1:7" x14ac:dyDescent="0.25">
      <c r="A2378" s="1">
        <v>45139</v>
      </c>
      <c r="B2378" t="s">
        <v>26</v>
      </c>
      <c r="C2378" t="s">
        <v>40</v>
      </c>
      <c r="D2378" s="2">
        <v>7074460.0499999998</v>
      </c>
      <c r="E2378" s="2">
        <v>3802887.89</v>
      </c>
      <c r="F2378" s="2">
        <v>3445040.7</v>
      </c>
      <c r="G2378">
        <v>0</v>
      </c>
    </row>
    <row r="2379" spans="1:7" x14ac:dyDescent="0.25">
      <c r="A2379" s="1">
        <v>45139</v>
      </c>
      <c r="B2379" t="s">
        <v>54</v>
      </c>
      <c r="C2379" t="s">
        <v>116</v>
      </c>
      <c r="D2379" s="2">
        <v>217457711.68000001</v>
      </c>
      <c r="E2379" s="2">
        <v>222797283.22999999</v>
      </c>
      <c r="F2379" s="2">
        <v>222977552.75999999</v>
      </c>
      <c r="G2379" s="2">
        <v>74139591.920000002</v>
      </c>
    </row>
    <row r="2380" spans="1:7" x14ac:dyDescent="0.25">
      <c r="A2380" s="1">
        <v>45139</v>
      </c>
      <c r="B2380" t="s">
        <v>23</v>
      </c>
      <c r="C2380" t="s">
        <v>34</v>
      </c>
      <c r="D2380" s="2">
        <v>73808514.450000003</v>
      </c>
      <c r="E2380" s="2">
        <v>80964682.620000005</v>
      </c>
      <c r="F2380" s="2">
        <v>70381213.769999996</v>
      </c>
      <c r="G2380" s="2">
        <v>6240346.5999999996</v>
      </c>
    </row>
    <row r="2381" spans="1:7" x14ac:dyDescent="0.25">
      <c r="A2381" s="1">
        <v>45139</v>
      </c>
      <c r="B2381" t="s">
        <v>54</v>
      </c>
      <c r="C2381" t="s">
        <v>20</v>
      </c>
      <c r="D2381" s="2">
        <v>2315158.58</v>
      </c>
      <c r="E2381" s="2">
        <v>1403859.91</v>
      </c>
      <c r="F2381" s="2">
        <v>1853720.23</v>
      </c>
      <c r="G2381" s="2">
        <v>1631932.37</v>
      </c>
    </row>
    <row r="2382" spans="1:7" x14ac:dyDescent="0.25">
      <c r="A2382" s="1">
        <v>45139</v>
      </c>
      <c r="B2382" t="s">
        <v>28</v>
      </c>
      <c r="C2382" t="s">
        <v>124</v>
      </c>
      <c r="D2382" s="2">
        <v>36951329963.57</v>
      </c>
      <c r="E2382" s="2">
        <v>3842091416.96</v>
      </c>
      <c r="F2382" s="2">
        <v>88234540186.550003</v>
      </c>
      <c r="G2382" s="2">
        <v>714922.98</v>
      </c>
    </row>
    <row r="2383" spans="1:7" x14ac:dyDescent="0.25">
      <c r="A2383" s="1">
        <v>45139</v>
      </c>
      <c r="B2383" t="s">
        <v>17</v>
      </c>
      <c r="C2383" t="s">
        <v>126</v>
      </c>
      <c r="D2383" s="2">
        <v>2221030.89</v>
      </c>
      <c r="E2383" s="2">
        <v>2940517.29</v>
      </c>
      <c r="F2383" s="2">
        <v>3882376.71</v>
      </c>
      <c r="G2383" s="2">
        <v>1674794.76</v>
      </c>
    </row>
    <row r="2384" spans="1:7" x14ac:dyDescent="0.25">
      <c r="A2384" s="1">
        <v>45139</v>
      </c>
      <c r="B2384" t="s">
        <v>23</v>
      </c>
      <c r="C2384" t="s">
        <v>96</v>
      </c>
      <c r="D2384" s="2">
        <v>127822090.45999999</v>
      </c>
      <c r="E2384" s="2">
        <v>4586276.54</v>
      </c>
      <c r="F2384" s="2">
        <v>3670147.23</v>
      </c>
      <c r="G2384" s="2">
        <v>205431.63</v>
      </c>
    </row>
    <row r="2385" spans="1:7" x14ac:dyDescent="0.25">
      <c r="A2385" s="1">
        <v>45139</v>
      </c>
      <c r="B2385" t="s">
        <v>37</v>
      </c>
      <c r="C2385" t="s">
        <v>75</v>
      </c>
      <c r="D2385" s="2">
        <v>814843.84</v>
      </c>
      <c r="E2385" s="2">
        <v>5145522.63</v>
      </c>
      <c r="F2385" s="2">
        <v>8627286.2400000002</v>
      </c>
      <c r="G2385" s="2">
        <v>376587.96</v>
      </c>
    </row>
    <row r="2386" spans="1:7" x14ac:dyDescent="0.25">
      <c r="A2386" s="1">
        <v>45139</v>
      </c>
      <c r="B2386" t="s">
        <v>54</v>
      </c>
      <c r="C2386" t="s">
        <v>95</v>
      </c>
      <c r="D2386" s="2">
        <v>846179.88</v>
      </c>
      <c r="E2386" s="2">
        <v>2235535.58</v>
      </c>
      <c r="F2386" s="2">
        <v>3008643.58</v>
      </c>
      <c r="G2386" s="2">
        <v>144409.56</v>
      </c>
    </row>
    <row r="2387" spans="1:7" x14ac:dyDescent="0.25">
      <c r="A2387" s="1">
        <v>45139</v>
      </c>
      <c r="B2387" t="s">
        <v>28</v>
      </c>
      <c r="C2387" t="s">
        <v>125</v>
      </c>
      <c r="D2387" s="2">
        <v>866473264.23000002</v>
      </c>
      <c r="E2387" s="2">
        <v>506207764.31</v>
      </c>
      <c r="F2387" s="2">
        <v>14888260656.309999</v>
      </c>
      <c r="G2387" s="2">
        <v>17572.97</v>
      </c>
    </row>
    <row r="2388" spans="1:7" x14ac:dyDescent="0.25">
      <c r="A2388" s="1">
        <v>45139</v>
      </c>
      <c r="B2388" t="s">
        <v>54</v>
      </c>
      <c r="C2388" t="s">
        <v>14</v>
      </c>
      <c r="D2388" s="2">
        <v>8892743.2100000009</v>
      </c>
      <c r="E2388" s="2">
        <v>2984656.66</v>
      </c>
      <c r="F2388" s="2">
        <v>2798976.57</v>
      </c>
      <c r="G2388" s="2">
        <v>10411752.07</v>
      </c>
    </row>
    <row r="2389" spans="1:7" x14ac:dyDescent="0.25">
      <c r="A2389" s="1">
        <v>45139</v>
      </c>
      <c r="B2389" t="s">
        <v>7</v>
      </c>
      <c r="C2389" t="s">
        <v>123</v>
      </c>
      <c r="D2389" s="2">
        <v>2605355.7799999998</v>
      </c>
      <c r="E2389" s="2">
        <v>2315786.71</v>
      </c>
      <c r="F2389" s="2">
        <v>1820852.15</v>
      </c>
      <c r="G2389" s="2">
        <v>201226.18</v>
      </c>
    </row>
    <row r="2390" spans="1:7" x14ac:dyDescent="0.25">
      <c r="A2390" s="1">
        <v>45139</v>
      </c>
      <c r="B2390" t="s">
        <v>23</v>
      </c>
      <c r="C2390" t="s">
        <v>77</v>
      </c>
      <c r="D2390">
        <v>0</v>
      </c>
      <c r="E2390">
        <v>0</v>
      </c>
      <c r="F2390">
        <v>0</v>
      </c>
      <c r="G2390" s="2">
        <v>26793185.399999999</v>
      </c>
    </row>
    <row r="2391" spans="1:7" x14ac:dyDescent="0.25">
      <c r="A2391" s="1">
        <v>45139</v>
      </c>
      <c r="B2391" t="s">
        <v>13</v>
      </c>
      <c r="C2391" t="s">
        <v>55</v>
      </c>
      <c r="D2391" s="2">
        <v>2184628.15</v>
      </c>
      <c r="E2391" s="2">
        <v>725058.66</v>
      </c>
      <c r="F2391" s="2">
        <v>694168.08</v>
      </c>
      <c r="G2391" s="2">
        <v>344154.55</v>
      </c>
    </row>
    <row r="2392" spans="1:7" x14ac:dyDescent="0.25">
      <c r="A2392" s="1">
        <v>45139</v>
      </c>
      <c r="B2392" t="s">
        <v>17</v>
      </c>
      <c r="C2392" t="s">
        <v>55</v>
      </c>
      <c r="D2392" s="2">
        <v>729729.98</v>
      </c>
      <c r="E2392" s="2">
        <v>301748.46000000002</v>
      </c>
      <c r="F2392" s="2">
        <v>284942.62</v>
      </c>
      <c r="G2392" s="2">
        <v>102475.24</v>
      </c>
    </row>
    <row r="2393" spans="1:7" x14ac:dyDescent="0.25">
      <c r="A2393" s="1">
        <v>45139</v>
      </c>
      <c r="B2393" t="s">
        <v>7</v>
      </c>
      <c r="C2393" t="s">
        <v>58</v>
      </c>
      <c r="D2393" s="2">
        <v>327442781.55000001</v>
      </c>
      <c r="E2393" s="2">
        <v>613258835.51999998</v>
      </c>
      <c r="F2393" s="2">
        <v>613041432.30999994</v>
      </c>
      <c r="G2393" s="2">
        <v>1116585.25</v>
      </c>
    </row>
    <row r="2394" spans="1:7" x14ac:dyDescent="0.25">
      <c r="A2394" s="1">
        <v>45139</v>
      </c>
      <c r="B2394" t="s">
        <v>13</v>
      </c>
      <c r="C2394" t="s">
        <v>72</v>
      </c>
      <c r="D2394" s="2">
        <v>122332.11</v>
      </c>
      <c r="E2394" s="2">
        <v>4172498.39</v>
      </c>
      <c r="F2394" s="2">
        <v>13253860.17</v>
      </c>
      <c r="G2394">
        <v>0</v>
      </c>
    </row>
    <row r="2395" spans="1:7" x14ac:dyDescent="0.25">
      <c r="A2395" s="1">
        <v>45139</v>
      </c>
      <c r="B2395" t="s">
        <v>11</v>
      </c>
      <c r="C2395" t="s">
        <v>107</v>
      </c>
      <c r="D2395" s="2">
        <v>2130096.9700000002</v>
      </c>
      <c r="E2395" s="2">
        <v>2638424.04</v>
      </c>
      <c r="F2395" s="2">
        <v>2815961.87</v>
      </c>
      <c r="G2395" s="2">
        <v>108574.01</v>
      </c>
    </row>
    <row r="2396" spans="1:7" x14ac:dyDescent="0.25">
      <c r="A2396" s="1">
        <v>45139</v>
      </c>
      <c r="B2396" t="s">
        <v>17</v>
      </c>
      <c r="C2396" t="s">
        <v>75</v>
      </c>
      <c r="D2396" s="2">
        <v>12729053.689999999</v>
      </c>
      <c r="E2396" s="2">
        <v>13575885.91</v>
      </c>
      <c r="F2396" s="2">
        <v>12616985.390000001</v>
      </c>
      <c r="G2396" s="2">
        <v>777951.23</v>
      </c>
    </row>
    <row r="2397" spans="1:7" x14ac:dyDescent="0.25">
      <c r="A2397" s="1">
        <v>45139</v>
      </c>
      <c r="B2397" t="s">
        <v>23</v>
      </c>
      <c r="C2397" t="s">
        <v>115</v>
      </c>
      <c r="D2397" s="2">
        <v>497380567.67000002</v>
      </c>
      <c r="E2397" s="2">
        <v>792847496.54999995</v>
      </c>
      <c r="F2397" s="2">
        <v>858618113.32000005</v>
      </c>
      <c r="G2397" s="2">
        <v>20525847.690000001</v>
      </c>
    </row>
    <row r="2398" spans="1:7" x14ac:dyDescent="0.25">
      <c r="A2398" s="1">
        <v>45139</v>
      </c>
      <c r="B2398" t="s">
        <v>26</v>
      </c>
      <c r="C2398" t="s">
        <v>68</v>
      </c>
      <c r="D2398" s="2">
        <v>664438.5</v>
      </c>
      <c r="E2398" s="2">
        <v>254362.94</v>
      </c>
      <c r="F2398" s="2">
        <v>159816.14000000001</v>
      </c>
      <c r="G2398" s="2">
        <v>407637.37</v>
      </c>
    </row>
    <row r="2399" spans="1:7" x14ac:dyDescent="0.25">
      <c r="A2399" s="1">
        <v>45139</v>
      </c>
      <c r="B2399" t="s">
        <v>27</v>
      </c>
      <c r="C2399" t="s">
        <v>99</v>
      </c>
      <c r="D2399" s="2">
        <v>-174781.86</v>
      </c>
      <c r="E2399" s="2">
        <v>26160051.789999999</v>
      </c>
      <c r="F2399" s="2">
        <v>30444041.309999999</v>
      </c>
      <c r="G2399" s="2">
        <v>3909243.46</v>
      </c>
    </row>
    <row r="2400" spans="1:7" x14ac:dyDescent="0.25">
      <c r="A2400" s="1">
        <v>45139</v>
      </c>
      <c r="B2400" t="s">
        <v>69</v>
      </c>
      <c r="C2400" t="s">
        <v>122</v>
      </c>
      <c r="D2400" s="2">
        <v>279315611.47000003</v>
      </c>
      <c r="E2400" s="2">
        <v>55193250.539999999</v>
      </c>
      <c r="F2400" s="2">
        <v>51119293.119999997</v>
      </c>
      <c r="G2400" s="2">
        <v>117440102.55</v>
      </c>
    </row>
    <row r="2401" spans="1:7" x14ac:dyDescent="0.25">
      <c r="A2401" s="1">
        <v>45139</v>
      </c>
      <c r="B2401" t="s">
        <v>7</v>
      </c>
      <c r="C2401" t="s">
        <v>130</v>
      </c>
      <c r="D2401" s="2">
        <v>16237115.57</v>
      </c>
      <c r="E2401" s="2">
        <v>25516844.579999998</v>
      </c>
      <c r="F2401" s="2">
        <v>25516844.579999998</v>
      </c>
      <c r="G2401" s="2">
        <v>6009767.3399999999</v>
      </c>
    </row>
    <row r="2402" spans="1:7" x14ac:dyDescent="0.25">
      <c r="A2402" s="1">
        <v>45139</v>
      </c>
      <c r="B2402" t="s">
        <v>15</v>
      </c>
      <c r="C2402" t="s">
        <v>60</v>
      </c>
      <c r="D2402" s="2">
        <v>-69023</v>
      </c>
      <c r="E2402" s="2">
        <v>1844479.65</v>
      </c>
      <c r="F2402" s="2">
        <v>1668872.09</v>
      </c>
      <c r="G2402">
        <v>0</v>
      </c>
    </row>
    <row r="2403" spans="1:7" x14ac:dyDescent="0.25">
      <c r="A2403" s="1">
        <v>45139</v>
      </c>
      <c r="B2403" t="s">
        <v>26</v>
      </c>
      <c r="C2403" t="s">
        <v>66</v>
      </c>
      <c r="D2403" s="2">
        <v>27867724.199999999</v>
      </c>
      <c r="E2403" s="2">
        <v>10590509.42</v>
      </c>
      <c r="F2403" s="2">
        <v>10488368.68</v>
      </c>
      <c r="G2403" s="2">
        <v>4664388.22</v>
      </c>
    </row>
    <row r="2404" spans="1:7" x14ac:dyDescent="0.25">
      <c r="A2404" s="1">
        <v>45139</v>
      </c>
      <c r="B2404" t="s">
        <v>54</v>
      </c>
      <c r="C2404" t="s">
        <v>34</v>
      </c>
      <c r="D2404" s="2">
        <v>276136.73</v>
      </c>
      <c r="E2404" s="2">
        <v>341431.8</v>
      </c>
      <c r="F2404" s="2">
        <v>1570545.82</v>
      </c>
      <c r="G2404" s="2">
        <v>21929.37</v>
      </c>
    </row>
    <row r="2405" spans="1:7" x14ac:dyDescent="0.25">
      <c r="A2405" s="1">
        <v>45139</v>
      </c>
      <c r="B2405" t="s">
        <v>13</v>
      </c>
      <c r="C2405" t="s">
        <v>67</v>
      </c>
      <c r="D2405" s="2">
        <v>6196503.71</v>
      </c>
      <c r="E2405" s="2">
        <v>12713107.65</v>
      </c>
      <c r="F2405" s="2">
        <v>13000695.189999999</v>
      </c>
      <c r="G2405" s="2">
        <v>669077.92000000004</v>
      </c>
    </row>
    <row r="2406" spans="1:7" x14ac:dyDescent="0.25">
      <c r="A2406" s="1">
        <v>45139</v>
      </c>
      <c r="B2406" t="s">
        <v>23</v>
      </c>
      <c r="C2406" t="s">
        <v>72</v>
      </c>
      <c r="D2406" s="2">
        <v>6947962.5999999996</v>
      </c>
      <c r="E2406" s="2">
        <v>8471518.1699999999</v>
      </c>
      <c r="F2406" s="2">
        <v>111026208.20999999</v>
      </c>
      <c r="G2406">
        <v>0</v>
      </c>
    </row>
    <row r="2407" spans="1:7" x14ac:dyDescent="0.25">
      <c r="A2407" s="1">
        <v>45139</v>
      </c>
      <c r="B2407" t="s">
        <v>11</v>
      </c>
      <c r="C2407" t="s">
        <v>71</v>
      </c>
      <c r="D2407" s="2">
        <v>3239735.62</v>
      </c>
      <c r="E2407" s="2">
        <v>4466519.03</v>
      </c>
      <c r="F2407" s="2">
        <v>3243386.24</v>
      </c>
      <c r="G2407">
        <v>0</v>
      </c>
    </row>
    <row r="2408" spans="1:7" x14ac:dyDescent="0.25">
      <c r="A2408" s="1">
        <v>45139</v>
      </c>
      <c r="B2408" t="s">
        <v>62</v>
      </c>
      <c r="C2408" t="s">
        <v>57</v>
      </c>
      <c r="D2408" s="2">
        <v>16188075.59</v>
      </c>
      <c r="E2408" s="2">
        <v>25951982.68</v>
      </c>
      <c r="F2408" s="2">
        <v>70372042.709999993</v>
      </c>
      <c r="G2408" s="2">
        <v>664552.94999999995</v>
      </c>
    </row>
    <row r="2409" spans="1:7" x14ac:dyDescent="0.25">
      <c r="A2409" s="1">
        <v>45139</v>
      </c>
      <c r="B2409" t="s">
        <v>37</v>
      </c>
      <c r="C2409" t="s">
        <v>24</v>
      </c>
      <c r="D2409" s="2">
        <v>42614879.119999997</v>
      </c>
      <c r="E2409" s="2">
        <v>12448814.43</v>
      </c>
      <c r="F2409" s="2">
        <v>15648823.449999999</v>
      </c>
      <c r="G2409" s="2">
        <v>22547400.149999999</v>
      </c>
    </row>
    <row r="2410" spans="1:7" x14ac:dyDescent="0.25">
      <c r="A2410" s="1">
        <v>45139</v>
      </c>
      <c r="B2410" t="s">
        <v>43</v>
      </c>
      <c r="C2410" t="s">
        <v>127</v>
      </c>
      <c r="D2410" s="2">
        <v>2651285.9</v>
      </c>
      <c r="E2410" s="2">
        <v>2456820.96</v>
      </c>
      <c r="F2410" s="2">
        <v>2236576.09</v>
      </c>
      <c r="G2410" s="2">
        <v>359681.13</v>
      </c>
    </row>
    <row r="2411" spans="1:7" x14ac:dyDescent="0.25">
      <c r="A2411" s="1">
        <v>45139</v>
      </c>
      <c r="B2411" t="s">
        <v>17</v>
      </c>
      <c r="C2411" t="s">
        <v>40</v>
      </c>
      <c r="D2411" s="2">
        <v>1175708437.1400001</v>
      </c>
      <c r="E2411" s="2">
        <v>2902801544.6999998</v>
      </c>
      <c r="F2411" s="2">
        <v>1606222623.6900001</v>
      </c>
      <c r="G2411" s="2">
        <v>256847193.83000001</v>
      </c>
    </row>
    <row r="2412" spans="1:7" x14ac:dyDescent="0.25">
      <c r="A2412" s="1">
        <v>45139</v>
      </c>
      <c r="B2412" t="s">
        <v>69</v>
      </c>
      <c r="C2412" t="s">
        <v>72</v>
      </c>
      <c r="D2412" s="2">
        <v>38800.410000000003</v>
      </c>
      <c r="E2412" s="2">
        <v>159720.6</v>
      </c>
      <c r="F2412" s="2">
        <v>10223104.15</v>
      </c>
      <c r="G2412">
        <v>0</v>
      </c>
    </row>
    <row r="2413" spans="1:7" x14ac:dyDescent="0.25">
      <c r="A2413" s="1">
        <v>45139</v>
      </c>
      <c r="B2413" t="s">
        <v>23</v>
      </c>
      <c r="C2413" t="s">
        <v>12</v>
      </c>
      <c r="D2413" s="2">
        <v>32267090.030000001</v>
      </c>
      <c r="E2413" s="2">
        <v>148627897.78</v>
      </c>
      <c r="F2413" s="2">
        <v>151129015.18000001</v>
      </c>
      <c r="G2413" s="2">
        <v>1663847.94</v>
      </c>
    </row>
    <row r="2414" spans="1:7" x14ac:dyDescent="0.25">
      <c r="A2414" s="1">
        <v>45139</v>
      </c>
      <c r="B2414" t="s">
        <v>54</v>
      </c>
      <c r="C2414" t="s">
        <v>98</v>
      </c>
      <c r="D2414" s="2">
        <v>722666.07</v>
      </c>
      <c r="E2414" s="2">
        <v>443845.93</v>
      </c>
      <c r="F2414" s="2">
        <v>161561.98000000001</v>
      </c>
      <c r="G2414" s="2">
        <v>152370.4</v>
      </c>
    </row>
    <row r="2415" spans="1:7" x14ac:dyDescent="0.25">
      <c r="A2415" s="1">
        <v>45139</v>
      </c>
      <c r="B2415" t="s">
        <v>7</v>
      </c>
      <c r="C2415" t="s">
        <v>12</v>
      </c>
      <c r="D2415" s="2">
        <v>2786359.41</v>
      </c>
      <c r="E2415" s="2">
        <v>1940476.04</v>
      </c>
      <c r="F2415" s="2">
        <v>3972470.04</v>
      </c>
      <c r="G2415" s="2">
        <v>799090.35</v>
      </c>
    </row>
    <row r="2416" spans="1:7" x14ac:dyDescent="0.25">
      <c r="A2416" s="1">
        <v>45139</v>
      </c>
      <c r="B2416" t="s">
        <v>69</v>
      </c>
      <c r="C2416" t="s">
        <v>59</v>
      </c>
      <c r="D2416" s="2">
        <v>56902037.439999998</v>
      </c>
      <c r="E2416" s="2">
        <v>16581188.029999999</v>
      </c>
      <c r="F2416" s="2">
        <v>15414905.23</v>
      </c>
      <c r="G2416" s="2">
        <v>1170010.5</v>
      </c>
    </row>
    <row r="2417" spans="1:7" x14ac:dyDescent="0.25">
      <c r="A2417" s="1">
        <v>45139</v>
      </c>
      <c r="B2417" t="s">
        <v>15</v>
      </c>
      <c r="C2417" t="s">
        <v>103</v>
      </c>
      <c r="D2417" s="2">
        <v>1589224.95</v>
      </c>
      <c r="E2417" s="2">
        <v>5632903.5300000003</v>
      </c>
      <c r="F2417" s="2">
        <v>4079413.46</v>
      </c>
      <c r="G2417" s="2">
        <v>594439.82999999996</v>
      </c>
    </row>
    <row r="2418" spans="1:7" x14ac:dyDescent="0.25">
      <c r="A2418" s="1">
        <v>45139</v>
      </c>
      <c r="B2418" t="s">
        <v>33</v>
      </c>
      <c r="C2418" t="s">
        <v>12</v>
      </c>
      <c r="D2418" s="2">
        <v>594787.73</v>
      </c>
      <c r="E2418" s="2">
        <v>460429.99</v>
      </c>
      <c r="F2418" s="2">
        <v>824782.6</v>
      </c>
      <c r="G2418" s="2">
        <v>63648.07</v>
      </c>
    </row>
    <row r="2419" spans="1:7" x14ac:dyDescent="0.25">
      <c r="A2419" s="1">
        <v>45139</v>
      </c>
      <c r="B2419" t="s">
        <v>54</v>
      </c>
      <c r="C2419" t="s">
        <v>78</v>
      </c>
      <c r="D2419" s="2">
        <v>3815660.47</v>
      </c>
      <c r="E2419" s="2">
        <v>1651441.78</v>
      </c>
      <c r="F2419" s="2">
        <v>3404564.73</v>
      </c>
      <c r="G2419" s="2">
        <v>32336945.52</v>
      </c>
    </row>
    <row r="2420" spans="1:7" x14ac:dyDescent="0.25">
      <c r="A2420" s="1">
        <v>45139</v>
      </c>
      <c r="B2420" t="s">
        <v>26</v>
      </c>
      <c r="C2420" t="s">
        <v>57</v>
      </c>
      <c r="D2420" s="2">
        <v>56602979.5</v>
      </c>
      <c r="E2420" s="2">
        <v>13101252.43</v>
      </c>
      <c r="F2420" s="2">
        <v>166021068.49000001</v>
      </c>
      <c r="G2420" s="2">
        <v>467923.33</v>
      </c>
    </row>
    <row r="2421" spans="1:7" x14ac:dyDescent="0.25">
      <c r="A2421" s="1">
        <v>45139</v>
      </c>
      <c r="B2421" t="s">
        <v>9</v>
      </c>
      <c r="C2421" t="s">
        <v>57</v>
      </c>
      <c r="D2421" s="2">
        <v>663724693.03999996</v>
      </c>
      <c r="E2421" s="2">
        <v>80849397.879999995</v>
      </c>
      <c r="F2421" s="2">
        <v>864142274.55999994</v>
      </c>
      <c r="G2421" s="2">
        <v>6535909.0199999996</v>
      </c>
    </row>
    <row r="2422" spans="1:7" x14ac:dyDescent="0.25">
      <c r="A2422" s="1">
        <v>45139</v>
      </c>
      <c r="B2422" t="s">
        <v>7</v>
      </c>
      <c r="C2422" t="s">
        <v>57</v>
      </c>
      <c r="D2422" s="2">
        <v>78222023.170000002</v>
      </c>
      <c r="E2422" s="2">
        <v>39359249.5</v>
      </c>
      <c r="F2422" s="2">
        <v>110796573.75</v>
      </c>
      <c r="G2422" s="2">
        <v>1162245.74</v>
      </c>
    </row>
    <row r="2423" spans="1:7" x14ac:dyDescent="0.25">
      <c r="A2423" s="1">
        <v>45139</v>
      </c>
      <c r="B2423" t="s">
        <v>21</v>
      </c>
      <c r="C2423" t="s">
        <v>84</v>
      </c>
      <c r="D2423" s="2">
        <v>847514.91</v>
      </c>
      <c r="E2423" s="2">
        <v>2359894.54</v>
      </c>
      <c r="F2423" s="2">
        <v>1248377.56</v>
      </c>
      <c r="G2423" s="2">
        <v>11779894.18</v>
      </c>
    </row>
    <row r="2424" spans="1:7" x14ac:dyDescent="0.25">
      <c r="A2424" s="1">
        <v>45139</v>
      </c>
      <c r="B2424" t="s">
        <v>15</v>
      </c>
      <c r="C2424" t="s">
        <v>57</v>
      </c>
      <c r="D2424" s="2">
        <v>13950893.119999999</v>
      </c>
      <c r="E2424" s="2">
        <v>14935634.83</v>
      </c>
      <c r="F2424" s="2">
        <v>80558429.329999998</v>
      </c>
      <c r="G2424" s="2">
        <v>382468.36</v>
      </c>
    </row>
    <row r="2425" spans="1:7" x14ac:dyDescent="0.25">
      <c r="A2425" s="1">
        <v>45139</v>
      </c>
      <c r="B2425" t="s">
        <v>15</v>
      </c>
      <c r="C2425" t="s">
        <v>75</v>
      </c>
      <c r="D2425" s="2">
        <v>4602004.51</v>
      </c>
      <c r="E2425" s="2">
        <v>5956883.7000000002</v>
      </c>
      <c r="F2425" s="2">
        <v>6407678.6299999999</v>
      </c>
      <c r="G2425" s="2">
        <v>1232710.5900000001</v>
      </c>
    </row>
    <row r="2426" spans="1:7" x14ac:dyDescent="0.25">
      <c r="A2426" s="1">
        <v>45139</v>
      </c>
      <c r="B2426" t="s">
        <v>91</v>
      </c>
      <c r="C2426" t="s">
        <v>114</v>
      </c>
      <c r="D2426" s="2">
        <v>937532822.41999996</v>
      </c>
      <c r="E2426" s="2">
        <v>915453725.97000003</v>
      </c>
      <c r="F2426" s="2">
        <v>751247888.42999995</v>
      </c>
      <c r="G2426" s="2">
        <v>176137696.80000001</v>
      </c>
    </row>
    <row r="2427" spans="1:7" x14ac:dyDescent="0.25">
      <c r="A2427" s="1">
        <v>45139</v>
      </c>
      <c r="B2427" t="s">
        <v>11</v>
      </c>
      <c r="C2427" t="s">
        <v>55</v>
      </c>
      <c r="D2427" s="2">
        <v>1788697.36</v>
      </c>
      <c r="E2427" s="2">
        <v>357789.48</v>
      </c>
      <c r="F2427" s="2">
        <v>374970.74</v>
      </c>
      <c r="G2427">
        <v>0</v>
      </c>
    </row>
    <row r="2428" spans="1:7" x14ac:dyDescent="0.25">
      <c r="A2428" s="1">
        <v>45139</v>
      </c>
      <c r="B2428" t="s">
        <v>43</v>
      </c>
      <c r="C2428" t="s">
        <v>57</v>
      </c>
      <c r="D2428" s="2">
        <v>7511487.4699999997</v>
      </c>
      <c r="E2428" s="2">
        <v>24650016.059999999</v>
      </c>
      <c r="F2428" s="2">
        <v>141330767.68000001</v>
      </c>
      <c r="G2428" s="2">
        <v>58919.360000000001</v>
      </c>
    </row>
    <row r="2429" spans="1:7" x14ac:dyDescent="0.25">
      <c r="A2429" s="1">
        <v>45139</v>
      </c>
      <c r="B2429" t="s">
        <v>13</v>
      </c>
      <c r="C2429" t="s">
        <v>103</v>
      </c>
      <c r="D2429" s="2">
        <v>208036731.50999999</v>
      </c>
      <c r="E2429" s="2">
        <v>145671548.88</v>
      </c>
      <c r="F2429" s="2">
        <v>165600742.38</v>
      </c>
      <c r="G2429" s="2">
        <v>26889827.579999998</v>
      </c>
    </row>
    <row r="2430" spans="1:7" x14ac:dyDescent="0.25">
      <c r="A2430" s="1">
        <v>45139</v>
      </c>
      <c r="B2430" t="s">
        <v>47</v>
      </c>
      <c r="C2430" t="s">
        <v>75</v>
      </c>
      <c r="D2430" s="2">
        <v>1707610.51</v>
      </c>
      <c r="E2430" s="2">
        <v>1827817.78</v>
      </c>
      <c r="F2430" s="2">
        <v>1910129.47</v>
      </c>
      <c r="G2430" s="2">
        <v>213958.7</v>
      </c>
    </row>
    <row r="2431" spans="1:7" x14ac:dyDescent="0.25">
      <c r="A2431" s="1">
        <v>45139</v>
      </c>
      <c r="B2431" t="s">
        <v>43</v>
      </c>
      <c r="C2431" t="s">
        <v>122</v>
      </c>
      <c r="D2431" s="2">
        <v>229647.3</v>
      </c>
      <c r="E2431" s="2">
        <v>226234.55</v>
      </c>
      <c r="F2431" s="2">
        <v>201826.04</v>
      </c>
      <c r="G2431" s="2">
        <v>139694.48000000001</v>
      </c>
    </row>
    <row r="2432" spans="1:7" x14ac:dyDescent="0.25">
      <c r="A2432" s="1">
        <v>45139</v>
      </c>
      <c r="B2432" t="s">
        <v>13</v>
      </c>
      <c r="C2432" t="s">
        <v>57</v>
      </c>
      <c r="D2432" s="2">
        <v>32003986.289999999</v>
      </c>
      <c r="E2432" s="2">
        <v>58338938.850000001</v>
      </c>
      <c r="F2432" s="2">
        <v>201141773.06</v>
      </c>
      <c r="G2432" s="2">
        <v>4180456.86</v>
      </c>
    </row>
    <row r="2433" spans="1:7" x14ac:dyDescent="0.25">
      <c r="A2433" s="1">
        <v>45139</v>
      </c>
      <c r="B2433" t="s">
        <v>11</v>
      </c>
      <c r="C2433" t="s">
        <v>50</v>
      </c>
      <c r="D2433" s="2">
        <v>28976316.170000002</v>
      </c>
      <c r="E2433" s="2">
        <v>55653437.409999996</v>
      </c>
      <c r="F2433" s="2">
        <v>55911606.159999996</v>
      </c>
      <c r="G2433" s="2">
        <v>542313.15</v>
      </c>
    </row>
    <row r="2434" spans="1:7" x14ac:dyDescent="0.25">
      <c r="A2434" s="1">
        <v>45139</v>
      </c>
      <c r="B2434" t="s">
        <v>13</v>
      </c>
      <c r="C2434" t="s">
        <v>34</v>
      </c>
      <c r="D2434" s="2">
        <v>24829985.84</v>
      </c>
      <c r="E2434" s="2">
        <v>23436435.219999999</v>
      </c>
      <c r="F2434" s="2">
        <v>193033230.88</v>
      </c>
      <c r="G2434" s="2">
        <v>41612378.630000003</v>
      </c>
    </row>
    <row r="2435" spans="1:7" x14ac:dyDescent="0.25">
      <c r="A2435" s="1">
        <v>45139</v>
      </c>
      <c r="B2435" t="s">
        <v>28</v>
      </c>
      <c r="C2435" t="s">
        <v>57</v>
      </c>
      <c r="D2435" s="2">
        <v>-122121.27</v>
      </c>
      <c r="E2435" s="2">
        <v>958240.01</v>
      </c>
      <c r="F2435" s="2">
        <v>350676485.13</v>
      </c>
      <c r="G2435" s="2">
        <v>1022215.34</v>
      </c>
    </row>
    <row r="2436" spans="1:7" x14ac:dyDescent="0.25">
      <c r="A2436" s="1">
        <v>45139</v>
      </c>
      <c r="B2436" t="s">
        <v>23</v>
      </c>
      <c r="C2436" t="s">
        <v>117</v>
      </c>
      <c r="D2436" s="2">
        <v>22138890.920000002</v>
      </c>
      <c r="E2436" s="2">
        <v>126065267</v>
      </c>
      <c r="F2436" s="2">
        <v>122753839.29000001</v>
      </c>
      <c r="G2436" s="2">
        <v>872487.97</v>
      </c>
    </row>
    <row r="2437" spans="1:7" x14ac:dyDescent="0.25">
      <c r="A2437" s="1">
        <v>45139</v>
      </c>
      <c r="B2437" t="s">
        <v>69</v>
      </c>
      <c r="C2437" t="s">
        <v>75</v>
      </c>
      <c r="D2437" s="2">
        <v>4062319.69</v>
      </c>
      <c r="E2437" s="2">
        <v>16143875</v>
      </c>
      <c r="F2437" s="2">
        <v>28678123.82</v>
      </c>
      <c r="G2437" s="2">
        <v>2987500</v>
      </c>
    </row>
    <row r="2438" spans="1:7" x14ac:dyDescent="0.25">
      <c r="A2438" s="1">
        <v>45139</v>
      </c>
      <c r="B2438" t="s">
        <v>37</v>
      </c>
      <c r="C2438" t="s">
        <v>117</v>
      </c>
      <c r="D2438" s="2">
        <v>6070462.4199999999</v>
      </c>
      <c r="E2438" s="2">
        <v>4422502.92</v>
      </c>
      <c r="F2438" s="2">
        <v>4335548.37</v>
      </c>
      <c r="G2438" s="2">
        <v>509538.52</v>
      </c>
    </row>
    <row r="2439" spans="1:7" x14ac:dyDescent="0.25">
      <c r="A2439" s="1">
        <v>45139</v>
      </c>
      <c r="B2439" t="s">
        <v>52</v>
      </c>
      <c r="C2439" t="s">
        <v>101</v>
      </c>
      <c r="D2439">
        <v>0</v>
      </c>
      <c r="E2439">
        <v>0</v>
      </c>
      <c r="F2439">
        <v>0</v>
      </c>
      <c r="G2439" s="2">
        <v>322137634.56999999</v>
      </c>
    </row>
    <row r="2440" spans="1:7" x14ac:dyDescent="0.25">
      <c r="A2440" s="1">
        <v>45139</v>
      </c>
      <c r="B2440" t="s">
        <v>7</v>
      </c>
      <c r="C2440" t="s">
        <v>72</v>
      </c>
      <c r="D2440" s="2">
        <v>37548990.350000001</v>
      </c>
      <c r="E2440" s="2">
        <v>7846686.2699999996</v>
      </c>
      <c r="F2440" s="2">
        <v>547030107.97000003</v>
      </c>
      <c r="G2440">
        <v>0</v>
      </c>
    </row>
    <row r="2441" spans="1:7" x14ac:dyDescent="0.25">
      <c r="A2441" s="1">
        <v>45139</v>
      </c>
      <c r="B2441" t="s">
        <v>7</v>
      </c>
      <c r="C2441" t="s">
        <v>102</v>
      </c>
      <c r="D2441" s="2">
        <v>68147573.379999995</v>
      </c>
      <c r="E2441" s="2">
        <v>146939981.47</v>
      </c>
      <c r="F2441" s="2">
        <v>1385067614.8699999</v>
      </c>
      <c r="G2441" s="2">
        <v>10830029.99</v>
      </c>
    </row>
    <row r="2442" spans="1:7" x14ac:dyDescent="0.25">
      <c r="A2442" s="1">
        <v>45139</v>
      </c>
      <c r="B2442" t="s">
        <v>9</v>
      </c>
      <c r="C2442" t="s">
        <v>112</v>
      </c>
      <c r="D2442" s="2">
        <v>72628515.689999998</v>
      </c>
      <c r="E2442" s="2">
        <v>73981773.709999993</v>
      </c>
      <c r="F2442" s="2">
        <v>98589854.340000004</v>
      </c>
      <c r="G2442" s="2">
        <v>20947495.949999999</v>
      </c>
    </row>
    <row r="2443" spans="1:7" x14ac:dyDescent="0.25">
      <c r="A2443" s="1">
        <v>45139</v>
      </c>
      <c r="B2443" t="s">
        <v>33</v>
      </c>
      <c r="C2443" t="s">
        <v>16</v>
      </c>
      <c r="D2443" s="2">
        <v>85990110.510000005</v>
      </c>
      <c r="E2443" s="2">
        <v>51080477.700000003</v>
      </c>
      <c r="F2443" s="2">
        <v>51445942.07</v>
      </c>
      <c r="G2443" s="2">
        <v>783430.48</v>
      </c>
    </row>
    <row r="2444" spans="1:7" x14ac:dyDescent="0.25">
      <c r="A2444" s="1">
        <v>45139</v>
      </c>
      <c r="B2444" t="s">
        <v>9</v>
      </c>
      <c r="C2444" t="s">
        <v>128</v>
      </c>
      <c r="D2444" s="2">
        <v>1143891907.8299999</v>
      </c>
      <c r="E2444" s="2">
        <v>623055967.97000003</v>
      </c>
      <c r="F2444" s="2">
        <v>645176353.09000003</v>
      </c>
      <c r="G2444" s="2">
        <v>166358119.52000001</v>
      </c>
    </row>
    <row r="2445" spans="1:7" x14ac:dyDescent="0.25">
      <c r="A2445" s="1">
        <v>45139</v>
      </c>
      <c r="B2445" t="s">
        <v>36</v>
      </c>
      <c r="C2445" t="s">
        <v>101</v>
      </c>
      <c r="D2445" s="2">
        <v>804110393.24000001</v>
      </c>
      <c r="E2445" s="2">
        <v>14398649524.209999</v>
      </c>
      <c r="F2445" s="2">
        <v>14395600316.110001</v>
      </c>
      <c r="G2445" s="2">
        <v>11056356.59</v>
      </c>
    </row>
    <row r="2446" spans="1:7" x14ac:dyDescent="0.25">
      <c r="A2446" s="1">
        <v>45139</v>
      </c>
      <c r="B2446" t="s">
        <v>17</v>
      </c>
      <c r="C2446" t="s">
        <v>103</v>
      </c>
      <c r="D2446" s="2">
        <v>36185566.5</v>
      </c>
      <c r="E2446" s="2">
        <v>14845474.550000001</v>
      </c>
      <c r="F2446" s="2">
        <v>13034680.060000001</v>
      </c>
      <c r="G2446" s="2">
        <v>4503241.62</v>
      </c>
    </row>
    <row r="2447" spans="1:7" x14ac:dyDescent="0.25">
      <c r="A2447" s="1">
        <v>45139</v>
      </c>
      <c r="B2447" t="s">
        <v>54</v>
      </c>
      <c r="C2447" t="s">
        <v>68</v>
      </c>
      <c r="D2447" s="2">
        <v>2078874.21</v>
      </c>
      <c r="E2447" s="2">
        <v>3304795.46</v>
      </c>
      <c r="F2447" s="2">
        <v>2502535.33</v>
      </c>
      <c r="G2447" s="2">
        <v>421167.2</v>
      </c>
    </row>
    <row r="2448" spans="1:7" x14ac:dyDescent="0.25">
      <c r="A2448" s="1">
        <v>45139</v>
      </c>
      <c r="B2448" t="s">
        <v>23</v>
      </c>
      <c r="C2448" t="s">
        <v>121</v>
      </c>
      <c r="D2448" s="2">
        <v>10775522.630000001</v>
      </c>
      <c r="E2448" s="2">
        <v>5638793.3200000003</v>
      </c>
      <c r="F2448" s="2">
        <v>3350842.96</v>
      </c>
      <c r="G2448" s="2">
        <v>8499247.7100000009</v>
      </c>
    </row>
    <row r="2449" spans="1:7" x14ac:dyDescent="0.25">
      <c r="A2449" s="1">
        <v>45139</v>
      </c>
      <c r="B2449" t="s">
        <v>52</v>
      </c>
      <c r="C2449" t="s">
        <v>46</v>
      </c>
      <c r="D2449" s="2">
        <v>389050014.43000001</v>
      </c>
      <c r="E2449">
        <v>0</v>
      </c>
      <c r="F2449">
        <v>0</v>
      </c>
      <c r="G2449" s="2">
        <v>395049302.37</v>
      </c>
    </row>
    <row r="2450" spans="1:7" x14ac:dyDescent="0.25">
      <c r="A2450" s="1">
        <v>45139</v>
      </c>
      <c r="B2450" t="s">
        <v>11</v>
      </c>
      <c r="C2450" t="s">
        <v>72</v>
      </c>
      <c r="D2450" s="2">
        <v>3142272.78</v>
      </c>
      <c r="E2450" s="2">
        <v>3323121.58</v>
      </c>
      <c r="F2450" s="2">
        <v>4682133.57</v>
      </c>
      <c r="G2450">
        <v>0</v>
      </c>
    </row>
    <row r="2451" spans="1:7" x14ac:dyDescent="0.25">
      <c r="A2451" s="1">
        <v>45139</v>
      </c>
      <c r="B2451" t="s">
        <v>36</v>
      </c>
      <c r="C2451" t="s">
        <v>58</v>
      </c>
      <c r="D2451" s="2">
        <v>10686598.58</v>
      </c>
      <c r="E2451" s="2">
        <v>1856570.43</v>
      </c>
      <c r="F2451" s="2">
        <v>1025918.34</v>
      </c>
      <c r="G2451" s="2">
        <v>19611124.469999999</v>
      </c>
    </row>
    <row r="2452" spans="1:7" x14ac:dyDescent="0.25">
      <c r="A2452" s="1">
        <v>45139</v>
      </c>
      <c r="B2452" t="s">
        <v>31</v>
      </c>
      <c r="C2452" t="s">
        <v>22</v>
      </c>
      <c r="D2452" s="2">
        <v>1684033571.8299999</v>
      </c>
      <c r="E2452" s="2">
        <v>3060793652.5799999</v>
      </c>
      <c r="F2452" s="2">
        <v>3417115763.8299999</v>
      </c>
      <c r="G2452" s="2">
        <v>165523270.83000001</v>
      </c>
    </row>
    <row r="2453" spans="1:7" x14ac:dyDescent="0.25">
      <c r="A2453" s="1">
        <v>45139</v>
      </c>
      <c r="B2453" t="s">
        <v>54</v>
      </c>
      <c r="C2453" t="s">
        <v>12</v>
      </c>
      <c r="D2453" s="2">
        <v>7701357.25</v>
      </c>
      <c r="E2453" s="2">
        <v>14832646.199999999</v>
      </c>
      <c r="F2453" s="2">
        <v>12895538.779999999</v>
      </c>
      <c r="G2453" s="2">
        <v>2028789.12</v>
      </c>
    </row>
    <row r="2454" spans="1:7" x14ac:dyDescent="0.25">
      <c r="A2454" s="1">
        <v>45139</v>
      </c>
      <c r="B2454" t="s">
        <v>7</v>
      </c>
      <c r="C2454" t="s">
        <v>95</v>
      </c>
      <c r="D2454" s="2">
        <v>897006801.25</v>
      </c>
      <c r="E2454" s="2">
        <v>339638024.10000002</v>
      </c>
      <c r="F2454" s="2">
        <v>386637954.48000002</v>
      </c>
      <c r="G2454" s="2">
        <v>83742194.900000006</v>
      </c>
    </row>
    <row r="2455" spans="1:7" x14ac:dyDescent="0.25">
      <c r="A2455" s="1">
        <v>45139</v>
      </c>
      <c r="B2455" t="s">
        <v>37</v>
      </c>
      <c r="C2455" t="s">
        <v>57</v>
      </c>
      <c r="D2455" s="2">
        <v>12607382.560000001</v>
      </c>
      <c r="E2455" s="2">
        <v>17785216.09</v>
      </c>
      <c r="F2455" s="2">
        <v>51901224.520000003</v>
      </c>
      <c r="G2455" s="2">
        <v>3195625.85</v>
      </c>
    </row>
    <row r="2456" spans="1:7" x14ac:dyDescent="0.25">
      <c r="A2456" s="1">
        <v>45139</v>
      </c>
      <c r="B2456" t="s">
        <v>65</v>
      </c>
      <c r="C2456" t="s">
        <v>57</v>
      </c>
      <c r="D2456" s="2">
        <v>6779340.79</v>
      </c>
      <c r="E2456" s="2">
        <v>7826273.2400000002</v>
      </c>
      <c r="F2456" s="2">
        <v>283565536.52999997</v>
      </c>
      <c r="G2456" s="2">
        <v>125341.44</v>
      </c>
    </row>
    <row r="2457" spans="1:7" x14ac:dyDescent="0.25">
      <c r="A2457" s="1">
        <v>45139</v>
      </c>
      <c r="B2457" t="s">
        <v>91</v>
      </c>
      <c r="C2457" t="s">
        <v>57</v>
      </c>
      <c r="D2457" s="2">
        <v>17174414.359999999</v>
      </c>
      <c r="E2457" s="2">
        <v>61931770.619999997</v>
      </c>
      <c r="F2457" s="2">
        <v>225263791.59999999</v>
      </c>
      <c r="G2457" s="2">
        <v>3657668.6</v>
      </c>
    </row>
    <row r="2458" spans="1:7" x14ac:dyDescent="0.25">
      <c r="A2458" s="1">
        <v>45139</v>
      </c>
      <c r="B2458" t="s">
        <v>23</v>
      </c>
      <c r="C2458" t="s">
        <v>78</v>
      </c>
      <c r="D2458" s="2">
        <v>2709584057.1999998</v>
      </c>
      <c r="E2458" s="2">
        <v>3017986603.6500001</v>
      </c>
      <c r="F2458" s="2">
        <v>2997397430.4200001</v>
      </c>
      <c r="G2458" s="2">
        <v>40652243.960000001</v>
      </c>
    </row>
    <row r="2459" spans="1:7" x14ac:dyDescent="0.25">
      <c r="A2459" s="1">
        <v>45139</v>
      </c>
      <c r="B2459" t="s">
        <v>33</v>
      </c>
      <c r="C2459" t="s">
        <v>79</v>
      </c>
      <c r="D2459" s="2">
        <v>8716900.3300000001</v>
      </c>
      <c r="E2459" s="2">
        <v>10971253.689999999</v>
      </c>
      <c r="F2459" s="2">
        <v>26227105.02</v>
      </c>
      <c r="G2459" s="2">
        <v>4729840.3</v>
      </c>
    </row>
    <row r="2460" spans="1:7" x14ac:dyDescent="0.25">
      <c r="A2460" s="1">
        <v>45139</v>
      </c>
      <c r="B2460" t="s">
        <v>33</v>
      </c>
      <c r="C2460" t="s">
        <v>66</v>
      </c>
      <c r="D2460" s="2">
        <v>4104571.53</v>
      </c>
      <c r="E2460" s="2">
        <v>2236751.9900000002</v>
      </c>
      <c r="F2460" s="2">
        <v>4071128.42</v>
      </c>
      <c r="G2460" s="2">
        <v>696201.72</v>
      </c>
    </row>
    <row r="2461" spans="1:7" x14ac:dyDescent="0.25">
      <c r="A2461" s="1">
        <v>45139</v>
      </c>
      <c r="B2461" t="s">
        <v>7</v>
      </c>
      <c r="C2461" t="s">
        <v>68</v>
      </c>
      <c r="D2461" s="2">
        <v>374217592.44999999</v>
      </c>
      <c r="E2461" s="2">
        <v>181168700.28</v>
      </c>
      <c r="F2461" s="2">
        <v>1700571864.25</v>
      </c>
      <c r="G2461" s="2">
        <v>42700279.409999996</v>
      </c>
    </row>
    <row r="2462" spans="1:7" x14ac:dyDescent="0.25">
      <c r="A2462" s="1">
        <v>45139</v>
      </c>
      <c r="B2462" t="s">
        <v>23</v>
      </c>
      <c r="C2462" t="s">
        <v>57</v>
      </c>
      <c r="D2462" s="2">
        <v>2322005552.8099999</v>
      </c>
      <c r="E2462" s="2">
        <v>2186784361.23</v>
      </c>
      <c r="F2462" s="2">
        <v>2902521713.8600001</v>
      </c>
      <c r="G2462" s="2">
        <v>844445.88</v>
      </c>
    </row>
    <row r="2463" spans="1:7" x14ac:dyDescent="0.25">
      <c r="A2463" s="1">
        <v>45139</v>
      </c>
      <c r="B2463" t="s">
        <v>43</v>
      </c>
      <c r="C2463" t="s">
        <v>66</v>
      </c>
      <c r="D2463" s="2">
        <v>93381.06</v>
      </c>
      <c r="E2463" s="2">
        <v>98486.21</v>
      </c>
      <c r="F2463" s="2">
        <v>118421.21</v>
      </c>
      <c r="G2463" s="2">
        <v>24600</v>
      </c>
    </row>
    <row r="2464" spans="1:7" x14ac:dyDescent="0.25">
      <c r="A2464" s="1">
        <v>45139</v>
      </c>
      <c r="B2464" t="s">
        <v>11</v>
      </c>
      <c r="C2464" t="s">
        <v>57</v>
      </c>
      <c r="D2464" s="2">
        <v>45106233.159999996</v>
      </c>
      <c r="E2464" s="2">
        <v>58457627.979999997</v>
      </c>
      <c r="F2464" s="2">
        <v>86426999.180000007</v>
      </c>
      <c r="G2464" s="2">
        <v>302841.36</v>
      </c>
    </row>
    <row r="2465" spans="1:7" x14ac:dyDescent="0.25">
      <c r="A2465" s="1">
        <v>45139</v>
      </c>
      <c r="B2465" t="s">
        <v>17</v>
      </c>
      <c r="C2465" t="s">
        <v>39</v>
      </c>
      <c r="D2465" s="2">
        <v>360545.54</v>
      </c>
      <c r="E2465" s="2">
        <v>1511246.99</v>
      </c>
      <c r="F2465" s="2">
        <v>1197821.55</v>
      </c>
      <c r="G2465" s="2">
        <v>153086.87</v>
      </c>
    </row>
    <row r="2466" spans="1:7" x14ac:dyDescent="0.25">
      <c r="A2466" s="1">
        <v>45139</v>
      </c>
      <c r="B2466" t="s">
        <v>43</v>
      </c>
      <c r="C2466" t="s">
        <v>72</v>
      </c>
      <c r="D2466" s="2">
        <v>6693061.0199999996</v>
      </c>
      <c r="E2466" s="2">
        <v>3679951.81</v>
      </c>
      <c r="F2466" s="2">
        <v>9799993.5700000003</v>
      </c>
      <c r="G2466">
        <v>0</v>
      </c>
    </row>
    <row r="2467" spans="1:7" x14ac:dyDescent="0.25">
      <c r="A2467" s="1">
        <v>45139</v>
      </c>
      <c r="B2467" t="s">
        <v>69</v>
      </c>
      <c r="C2467" t="s">
        <v>20</v>
      </c>
      <c r="D2467" s="2">
        <v>5742010.5099999998</v>
      </c>
      <c r="E2467" s="2">
        <v>4180408.54</v>
      </c>
      <c r="F2467" s="2">
        <v>12460770.42</v>
      </c>
      <c r="G2467" s="2">
        <v>2933931.22</v>
      </c>
    </row>
    <row r="2468" spans="1:7" x14ac:dyDescent="0.25">
      <c r="A2468" s="1">
        <v>45139</v>
      </c>
      <c r="B2468" t="s">
        <v>31</v>
      </c>
      <c r="C2468" t="s">
        <v>29</v>
      </c>
      <c r="D2468" s="2">
        <v>6788827229.3500004</v>
      </c>
      <c r="E2468" s="2">
        <v>25440431241.59</v>
      </c>
      <c r="F2468" s="2">
        <v>23099472514.139999</v>
      </c>
      <c r="G2468" s="2">
        <v>616274247.94000006</v>
      </c>
    </row>
    <row r="2469" spans="1:7" x14ac:dyDescent="0.25">
      <c r="A2469" s="1">
        <v>45139</v>
      </c>
      <c r="B2469" t="s">
        <v>54</v>
      </c>
      <c r="C2469" t="s">
        <v>89</v>
      </c>
      <c r="D2469" s="2">
        <v>374769.63</v>
      </c>
      <c r="E2469" s="2">
        <v>261069.51</v>
      </c>
      <c r="F2469" s="2">
        <v>234184.37</v>
      </c>
      <c r="G2469" s="2">
        <v>8614.59</v>
      </c>
    </row>
    <row r="2470" spans="1:7" x14ac:dyDescent="0.25">
      <c r="A2470" s="1">
        <v>45139</v>
      </c>
      <c r="B2470" t="s">
        <v>26</v>
      </c>
      <c r="C2470" t="s">
        <v>72</v>
      </c>
      <c r="D2470" s="2">
        <v>4243079.08</v>
      </c>
      <c r="E2470" s="2">
        <v>4184585.15</v>
      </c>
      <c r="F2470" s="2">
        <v>13348367.800000001</v>
      </c>
      <c r="G2470">
        <v>0</v>
      </c>
    </row>
    <row r="2471" spans="1:7" x14ac:dyDescent="0.25">
      <c r="A2471" s="1">
        <v>45139</v>
      </c>
      <c r="B2471" t="s">
        <v>23</v>
      </c>
      <c r="C2471" t="s">
        <v>102</v>
      </c>
      <c r="D2471" s="2">
        <v>1699406529.3900001</v>
      </c>
      <c r="E2471" s="2">
        <v>9584417236.5900002</v>
      </c>
      <c r="F2471" s="2">
        <v>9477077796.9200001</v>
      </c>
      <c r="G2471" s="2">
        <v>63079741.270000003</v>
      </c>
    </row>
    <row r="2472" spans="1:7" x14ac:dyDescent="0.25">
      <c r="A2472" s="1">
        <v>45139</v>
      </c>
      <c r="B2472" t="s">
        <v>7</v>
      </c>
      <c r="C2472" t="s">
        <v>100</v>
      </c>
      <c r="D2472" s="2">
        <v>479392222.06</v>
      </c>
      <c r="E2472" s="2">
        <v>481500456.77999997</v>
      </c>
      <c r="F2472" s="2">
        <v>4539273431.0299997</v>
      </c>
      <c r="G2472" s="2">
        <v>95603018.359999999</v>
      </c>
    </row>
    <row r="2473" spans="1:7" x14ac:dyDescent="0.25">
      <c r="A2473" s="1">
        <v>45139</v>
      </c>
      <c r="B2473" t="s">
        <v>54</v>
      </c>
      <c r="C2473" t="s">
        <v>75</v>
      </c>
      <c r="D2473" s="2">
        <v>10459168.35</v>
      </c>
      <c r="E2473" s="2">
        <v>14705388.470000001</v>
      </c>
      <c r="F2473" s="2">
        <v>12266798.1</v>
      </c>
      <c r="G2473" s="2">
        <v>2136082.35</v>
      </c>
    </row>
    <row r="2474" spans="1:7" x14ac:dyDescent="0.25">
      <c r="A2474" s="1">
        <v>45139</v>
      </c>
      <c r="B2474" t="s">
        <v>54</v>
      </c>
      <c r="C2474" t="s">
        <v>103</v>
      </c>
      <c r="D2474" s="2">
        <v>-18290955.149999999</v>
      </c>
      <c r="E2474" s="2">
        <v>6192280.4900000002</v>
      </c>
      <c r="F2474" s="2">
        <v>19780874</v>
      </c>
      <c r="G2474" s="2">
        <v>2451322.14</v>
      </c>
    </row>
    <row r="2475" spans="1:7" x14ac:dyDescent="0.25">
      <c r="A2475" s="1">
        <v>45139</v>
      </c>
      <c r="B2475" t="s">
        <v>54</v>
      </c>
      <c r="C2475" t="s">
        <v>57</v>
      </c>
      <c r="D2475" s="2">
        <v>1228154324.5599999</v>
      </c>
      <c r="E2475" s="2">
        <v>1318420385.29</v>
      </c>
      <c r="F2475" s="2">
        <v>6725800993.04</v>
      </c>
      <c r="G2475" s="2">
        <v>22667158.18</v>
      </c>
    </row>
    <row r="2476" spans="1:7" x14ac:dyDescent="0.25">
      <c r="A2476" s="1">
        <v>45139</v>
      </c>
      <c r="B2476" t="s">
        <v>54</v>
      </c>
      <c r="C2476" t="s">
        <v>120</v>
      </c>
      <c r="D2476" s="2">
        <v>-56621514.530000001</v>
      </c>
      <c r="E2476" s="2">
        <v>123491841.63</v>
      </c>
      <c r="F2476" s="2">
        <v>91241410.430000007</v>
      </c>
      <c r="G2476" s="2">
        <v>25936262.620000001</v>
      </c>
    </row>
    <row r="2477" spans="1:7" x14ac:dyDescent="0.25">
      <c r="A2477" s="1">
        <v>45139</v>
      </c>
      <c r="B2477" t="s">
        <v>17</v>
      </c>
      <c r="C2477" t="s">
        <v>57</v>
      </c>
      <c r="D2477" s="2">
        <v>17430995.420000002</v>
      </c>
      <c r="E2477" s="2">
        <v>219878511.19</v>
      </c>
      <c r="F2477" s="2">
        <v>523237794.57999998</v>
      </c>
      <c r="G2477" s="2">
        <v>816162.54</v>
      </c>
    </row>
    <row r="2478" spans="1:7" x14ac:dyDescent="0.25">
      <c r="A2478" s="1">
        <v>45139</v>
      </c>
      <c r="B2478" t="s">
        <v>54</v>
      </c>
      <c r="C2478" t="s">
        <v>129</v>
      </c>
      <c r="D2478" s="2">
        <v>190609744.5</v>
      </c>
      <c r="E2478" s="2">
        <v>125511301.23999999</v>
      </c>
      <c r="F2478" s="2">
        <v>110956305.16</v>
      </c>
      <c r="G2478" s="2">
        <v>69715178.519999996</v>
      </c>
    </row>
    <row r="2479" spans="1:7" x14ac:dyDescent="0.25">
      <c r="A2479" s="1">
        <v>45139</v>
      </c>
      <c r="B2479" t="s">
        <v>33</v>
      </c>
      <c r="C2479" t="s">
        <v>57</v>
      </c>
      <c r="D2479" s="2">
        <v>540018398.16999996</v>
      </c>
      <c r="E2479" s="2">
        <v>223876660.31</v>
      </c>
      <c r="F2479" s="2">
        <v>2450297887.73</v>
      </c>
      <c r="G2479" s="2">
        <v>29774193.530000001</v>
      </c>
    </row>
    <row r="2480" spans="1:7" x14ac:dyDescent="0.25">
      <c r="A2480" s="1">
        <v>45139</v>
      </c>
      <c r="B2480" t="s">
        <v>54</v>
      </c>
      <c r="C2480" t="s">
        <v>72</v>
      </c>
      <c r="D2480" s="2">
        <v>598171027.62</v>
      </c>
      <c r="E2480" s="2">
        <v>537288437.59000003</v>
      </c>
      <c r="F2480" s="2">
        <v>789874204.94000006</v>
      </c>
      <c r="G2480" s="2">
        <v>26276800.32</v>
      </c>
    </row>
    <row r="2481" spans="1:7" x14ac:dyDescent="0.25">
      <c r="A2481" s="1">
        <v>45139</v>
      </c>
      <c r="B2481" t="s">
        <v>33</v>
      </c>
      <c r="C2481" t="s">
        <v>90</v>
      </c>
      <c r="D2481" s="2">
        <v>14197020.07</v>
      </c>
      <c r="E2481" s="2">
        <v>7616274.8799999999</v>
      </c>
      <c r="F2481" s="2">
        <v>6995352.5499999998</v>
      </c>
      <c r="G2481" s="2">
        <v>3248925.1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2054E-767D-4B49-A78A-DAB548272534}">
  <dimension ref="A2:JR43"/>
  <sheetViews>
    <sheetView workbookViewId="0">
      <selection activeCell="B16" sqref="B16"/>
    </sheetView>
  </sheetViews>
  <sheetFormatPr defaultRowHeight="15" x14ac:dyDescent="0.25"/>
  <cols>
    <col min="1" max="1" width="23.42578125" bestFit="1" customWidth="1"/>
    <col min="2" max="2" width="29.85546875" style="5" customWidth="1"/>
    <col min="3" max="3" width="12.7109375" bestFit="1" customWidth="1"/>
    <col min="4" max="4" width="18" bestFit="1" customWidth="1"/>
    <col min="5" max="5" width="23.28515625" bestFit="1" customWidth="1"/>
    <col min="6" max="6" width="12.7109375" bestFit="1" customWidth="1"/>
    <col min="7" max="7" width="18" bestFit="1" customWidth="1"/>
    <col min="8" max="8" width="21.85546875" bestFit="1" customWidth="1"/>
    <col min="9" max="18" width="12.7109375" bestFit="1" customWidth="1"/>
    <col min="19" max="19" width="9.7109375" bestFit="1" customWidth="1"/>
    <col min="20" max="24" width="12.7109375" bestFit="1" customWidth="1"/>
    <col min="25" max="25" width="11.7109375" bestFit="1" customWidth="1"/>
    <col min="26" max="26" width="10.7109375" bestFit="1" customWidth="1"/>
    <col min="27" max="28" width="11.7109375" bestFit="1" customWidth="1"/>
    <col min="29" max="29" width="8.7109375" bestFit="1" customWidth="1"/>
    <col min="30" max="35" width="11.7109375" bestFit="1" customWidth="1"/>
    <col min="36" max="38" width="8.7109375" bestFit="1" customWidth="1"/>
    <col min="39" max="44" width="11.7109375" bestFit="1" customWidth="1"/>
    <col min="45" max="45" width="8.7109375" bestFit="1" customWidth="1"/>
    <col min="46" max="48" width="11.7109375" bestFit="1" customWidth="1"/>
    <col min="49" max="49" width="10.7109375" bestFit="1" customWidth="1"/>
    <col min="50" max="51" width="11.7109375" bestFit="1" customWidth="1"/>
    <col min="52" max="52" width="8.7109375" bestFit="1" customWidth="1"/>
    <col min="53" max="53" width="11.7109375" bestFit="1" customWidth="1"/>
    <col min="54" max="54" width="10.7109375" bestFit="1" customWidth="1"/>
    <col min="55" max="55" width="7.7109375" bestFit="1" customWidth="1"/>
    <col min="56" max="58" width="10.7109375" bestFit="1" customWidth="1"/>
    <col min="59" max="59" width="9.7109375" bestFit="1" customWidth="1"/>
    <col min="60" max="64" width="10.7109375" bestFit="1" customWidth="1"/>
    <col min="65" max="65" width="7.7109375" bestFit="1" customWidth="1"/>
    <col min="66" max="72" width="10.7109375" bestFit="1" customWidth="1"/>
    <col min="73" max="73" width="7.7109375" bestFit="1" customWidth="1"/>
    <col min="74" max="74" width="10.7109375" bestFit="1" customWidth="1"/>
    <col min="75" max="76" width="7.7109375" bestFit="1" customWidth="1"/>
    <col min="77" max="78" width="10.7109375" bestFit="1" customWidth="1"/>
    <col min="79" max="79" width="9.7109375" bestFit="1" customWidth="1"/>
    <col min="80" max="80" width="10.7109375" bestFit="1" customWidth="1"/>
    <col min="81" max="81" width="7.7109375" bestFit="1" customWidth="1"/>
    <col min="82" max="82" width="6.7109375" bestFit="1" customWidth="1"/>
    <col min="83" max="83" width="9.7109375" bestFit="1" customWidth="1"/>
    <col min="84" max="84" width="6.7109375" bestFit="1" customWidth="1"/>
    <col min="85" max="85" width="9.7109375" bestFit="1" customWidth="1"/>
    <col min="86" max="86" width="6.7109375" bestFit="1" customWidth="1"/>
    <col min="87" max="98" width="9.7109375" bestFit="1" customWidth="1"/>
    <col min="99" max="100" width="6.7109375" bestFit="1" customWidth="1"/>
    <col min="101" max="101" width="8.7109375" bestFit="1" customWidth="1"/>
    <col min="102" max="102" width="5.7109375" bestFit="1" customWidth="1"/>
    <col min="103" max="104" width="8.7109375" bestFit="1" customWidth="1"/>
    <col min="105" max="105" width="5.7109375" bestFit="1" customWidth="1"/>
    <col min="106" max="109" width="8.7109375" bestFit="1" customWidth="1"/>
    <col min="110" max="110" width="5.7109375" bestFit="1" customWidth="1"/>
    <col min="111" max="111" width="7.7109375" bestFit="1" customWidth="1"/>
    <col min="112" max="112" width="5.7109375" bestFit="1" customWidth="1"/>
    <col min="113" max="113" width="8.7109375" bestFit="1" customWidth="1"/>
    <col min="114" max="114" width="5.7109375" bestFit="1" customWidth="1"/>
    <col min="115" max="115" width="4.7109375" bestFit="1" customWidth="1"/>
    <col min="116" max="116" width="7.7109375" bestFit="1" customWidth="1"/>
    <col min="117" max="117" width="2.7109375" bestFit="1" customWidth="1"/>
    <col min="118" max="118" width="5.7109375" bestFit="1" customWidth="1"/>
    <col min="119" max="119" width="2" bestFit="1" customWidth="1"/>
    <col min="120" max="120" width="6" bestFit="1" customWidth="1"/>
    <col min="121" max="122" width="7" bestFit="1" customWidth="1"/>
    <col min="123" max="123" width="6" bestFit="1" customWidth="1"/>
    <col min="124" max="125" width="4" bestFit="1" customWidth="1"/>
    <col min="126" max="126" width="6" bestFit="1" customWidth="1"/>
    <col min="127" max="127" width="5" bestFit="1" customWidth="1"/>
    <col min="128" max="128" width="8" bestFit="1" customWidth="1"/>
    <col min="129" max="129" width="7" bestFit="1" customWidth="1"/>
    <col min="130" max="130" width="5" bestFit="1" customWidth="1"/>
    <col min="131" max="131" width="7" bestFit="1" customWidth="1"/>
    <col min="132" max="132" width="5" bestFit="1" customWidth="1"/>
    <col min="133" max="133" width="8" bestFit="1" customWidth="1"/>
    <col min="134" max="134" width="5" bestFit="1" customWidth="1"/>
    <col min="135" max="135" width="8" bestFit="1" customWidth="1"/>
    <col min="136" max="136" width="5" bestFit="1" customWidth="1"/>
    <col min="137" max="142" width="8" bestFit="1" customWidth="1"/>
    <col min="143" max="144" width="7" bestFit="1" customWidth="1"/>
    <col min="145" max="145" width="5" bestFit="1" customWidth="1"/>
    <col min="146" max="146" width="7" bestFit="1" customWidth="1"/>
    <col min="147" max="149" width="5" bestFit="1" customWidth="1"/>
    <col min="150" max="151" width="8" bestFit="1" customWidth="1"/>
    <col min="152" max="153" width="5" bestFit="1" customWidth="1"/>
    <col min="154" max="154" width="6" bestFit="1" customWidth="1"/>
    <col min="155" max="156" width="9" bestFit="1" customWidth="1"/>
    <col min="157" max="157" width="8" bestFit="1" customWidth="1"/>
    <col min="158" max="158" width="6" bestFit="1" customWidth="1"/>
    <col min="159" max="163" width="9" bestFit="1" customWidth="1"/>
    <col min="164" max="164" width="6" bestFit="1" customWidth="1"/>
    <col min="165" max="165" width="9" bestFit="1" customWidth="1"/>
    <col min="166" max="166" width="8" bestFit="1" customWidth="1"/>
    <col min="167" max="169" width="9" bestFit="1" customWidth="1"/>
    <col min="170" max="170" width="8" bestFit="1" customWidth="1"/>
    <col min="171" max="172" width="9" bestFit="1" customWidth="1"/>
    <col min="173" max="173" width="8" bestFit="1" customWidth="1"/>
    <col min="174" max="176" width="9" bestFit="1" customWidth="1"/>
    <col min="177" max="177" width="6" bestFit="1" customWidth="1"/>
    <col min="178" max="179" width="9" bestFit="1" customWidth="1"/>
    <col min="180" max="180" width="6" bestFit="1" customWidth="1"/>
    <col min="181" max="182" width="9" bestFit="1" customWidth="1"/>
    <col min="183" max="183" width="6" bestFit="1" customWidth="1"/>
    <col min="184" max="184" width="9" bestFit="1" customWidth="1"/>
    <col min="185" max="186" width="6" bestFit="1" customWidth="1"/>
    <col min="187" max="187" width="9" bestFit="1" customWidth="1"/>
    <col min="188" max="188" width="6" bestFit="1" customWidth="1"/>
    <col min="189" max="189" width="9" bestFit="1" customWidth="1"/>
    <col min="190" max="190" width="6" bestFit="1" customWidth="1"/>
    <col min="191" max="192" width="9" bestFit="1" customWidth="1"/>
    <col min="193" max="193" width="6" bestFit="1" customWidth="1"/>
    <col min="194" max="194" width="9" bestFit="1" customWidth="1"/>
    <col min="195" max="196" width="6" bestFit="1" customWidth="1"/>
    <col min="197" max="198" width="9" bestFit="1" customWidth="1"/>
    <col min="199" max="199" width="6" bestFit="1" customWidth="1"/>
    <col min="200" max="201" width="9" bestFit="1" customWidth="1"/>
    <col min="202" max="202" width="6" bestFit="1" customWidth="1"/>
    <col min="203" max="204" width="8" bestFit="1" customWidth="1"/>
    <col min="205" max="208" width="9" bestFit="1" customWidth="1"/>
    <col min="209" max="209" width="8" bestFit="1" customWidth="1"/>
    <col min="210" max="217" width="9" bestFit="1" customWidth="1"/>
    <col min="218" max="218" width="6" bestFit="1" customWidth="1"/>
    <col min="219" max="219" width="8" bestFit="1" customWidth="1"/>
    <col min="220" max="221" width="9" bestFit="1" customWidth="1"/>
    <col min="222" max="222" width="8" bestFit="1" customWidth="1"/>
    <col min="223" max="224" width="9" bestFit="1" customWidth="1"/>
    <col min="225" max="225" width="6" bestFit="1" customWidth="1"/>
    <col min="226" max="226" width="9" bestFit="1" customWidth="1"/>
    <col min="227" max="227" width="6" bestFit="1" customWidth="1"/>
    <col min="228" max="228" width="8" bestFit="1" customWidth="1"/>
    <col min="229" max="229" width="9" bestFit="1" customWidth="1"/>
    <col min="230" max="230" width="6" bestFit="1" customWidth="1"/>
    <col min="231" max="233" width="9" bestFit="1" customWidth="1"/>
    <col min="234" max="234" width="8" bestFit="1" customWidth="1"/>
    <col min="235" max="237" width="6" bestFit="1" customWidth="1"/>
    <col min="238" max="241" width="9" bestFit="1" customWidth="1"/>
    <col min="242" max="242" width="6" bestFit="1" customWidth="1"/>
    <col min="243" max="243" width="8" bestFit="1" customWidth="1"/>
    <col min="244" max="244" width="6" bestFit="1" customWidth="1"/>
    <col min="245" max="245" width="8" bestFit="1" customWidth="1"/>
    <col min="246" max="247" width="6" bestFit="1" customWidth="1"/>
    <col min="248" max="257" width="9" bestFit="1" customWidth="1"/>
    <col min="258" max="258" width="8" bestFit="1" customWidth="1"/>
    <col min="259" max="259" width="6" bestFit="1" customWidth="1"/>
    <col min="260" max="260" width="9" bestFit="1" customWidth="1"/>
    <col min="261" max="261" width="8" bestFit="1" customWidth="1"/>
    <col min="262" max="263" width="9" bestFit="1" customWidth="1"/>
    <col min="264" max="264" width="8" bestFit="1" customWidth="1"/>
    <col min="265" max="268" width="9" bestFit="1" customWidth="1"/>
    <col min="269" max="269" width="6" bestFit="1" customWidth="1"/>
    <col min="270" max="273" width="9" bestFit="1" customWidth="1"/>
    <col min="274" max="274" width="8" bestFit="1" customWidth="1"/>
    <col min="275" max="278" width="9" bestFit="1" customWidth="1"/>
    <col min="279" max="279" width="6" bestFit="1" customWidth="1"/>
    <col min="280" max="280" width="9" bestFit="1" customWidth="1"/>
    <col min="281" max="283" width="6" bestFit="1" customWidth="1"/>
    <col min="284" max="284" width="9" bestFit="1" customWidth="1"/>
    <col min="285" max="286" width="8" bestFit="1" customWidth="1"/>
    <col min="287" max="289" width="9" bestFit="1" customWidth="1"/>
    <col min="290" max="290" width="6" bestFit="1" customWidth="1"/>
    <col min="291" max="296" width="9" bestFit="1" customWidth="1"/>
    <col min="297" max="298" width="6" bestFit="1" customWidth="1"/>
    <col min="299" max="301" width="9" bestFit="1" customWidth="1"/>
    <col min="302" max="302" width="8" bestFit="1" customWidth="1"/>
    <col min="303" max="303" width="6" bestFit="1" customWidth="1"/>
    <col min="304" max="304" width="8" bestFit="1" customWidth="1"/>
    <col min="305" max="310" width="9" bestFit="1" customWidth="1"/>
    <col min="311" max="311" width="8" bestFit="1" customWidth="1"/>
    <col min="312" max="314" width="9" bestFit="1" customWidth="1"/>
    <col min="315" max="315" width="7" bestFit="1" customWidth="1"/>
    <col min="316" max="320" width="10" bestFit="1" customWidth="1"/>
    <col min="321" max="321" width="9" bestFit="1" customWidth="1"/>
    <col min="322" max="322" width="10" bestFit="1" customWidth="1"/>
    <col min="323" max="323" width="7" bestFit="1" customWidth="1"/>
    <col min="324" max="327" width="10" bestFit="1" customWidth="1"/>
    <col min="328" max="328" width="7" bestFit="1" customWidth="1"/>
    <col min="329" max="330" width="10" bestFit="1" customWidth="1"/>
    <col min="331" max="331" width="7" bestFit="1" customWidth="1"/>
    <col min="332" max="334" width="10" bestFit="1" customWidth="1"/>
    <col min="335" max="335" width="7" bestFit="1" customWidth="1"/>
    <col min="336" max="336" width="9" bestFit="1" customWidth="1"/>
    <col min="337" max="337" width="10" bestFit="1" customWidth="1"/>
    <col min="338" max="338" width="9" bestFit="1" customWidth="1"/>
    <col min="339" max="344" width="10" bestFit="1" customWidth="1"/>
    <col min="345" max="345" width="7" bestFit="1" customWidth="1"/>
    <col min="346" max="347" width="10" bestFit="1" customWidth="1"/>
    <col min="348" max="348" width="9" bestFit="1" customWidth="1"/>
    <col min="349" max="349" width="10" bestFit="1" customWidth="1"/>
    <col min="350" max="350" width="9" bestFit="1" customWidth="1"/>
    <col min="351" max="352" width="7" bestFit="1" customWidth="1"/>
    <col min="353" max="356" width="10" bestFit="1" customWidth="1"/>
    <col min="357" max="357" width="9" bestFit="1" customWidth="1"/>
    <col min="358" max="361" width="10" bestFit="1" customWidth="1"/>
    <col min="362" max="362" width="7" bestFit="1" customWidth="1"/>
    <col min="363" max="365" width="10" bestFit="1" customWidth="1"/>
    <col min="366" max="366" width="9" bestFit="1" customWidth="1"/>
    <col min="367" max="369" width="10" bestFit="1" customWidth="1"/>
    <col min="370" max="370" width="7" bestFit="1" customWidth="1"/>
    <col min="371" max="371" width="9" bestFit="1" customWidth="1"/>
    <col min="372" max="379" width="10" bestFit="1" customWidth="1"/>
    <col min="380" max="380" width="7" bestFit="1" customWidth="1"/>
    <col min="381" max="382" width="10" bestFit="1" customWidth="1"/>
    <col min="383" max="383" width="7" bestFit="1" customWidth="1"/>
    <col min="384" max="386" width="10" bestFit="1" customWidth="1"/>
    <col min="387" max="387" width="7" bestFit="1" customWidth="1"/>
    <col min="388" max="401" width="10" bestFit="1" customWidth="1"/>
    <col min="402" max="403" width="9" bestFit="1" customWidth="1"/>
    <col min="404" max="404" width="10" bestFit="1" customWidth="1"/>
    <col min="405" max="406" width="7" bestFit="1" customWidth="1"/>
    <col min="407" max="409" width="10" bestFit="1" customWidth="1"/>
    <col min="410" max="410" width="7" bestFit="1" customWidth="1"/>
    <col min="411" max="412" width="9" bestFit="1" customWidth="1"/>
    <col min="413" max="413" width="7" bestFit="1" customWidth="1"/>
    <col min="414" max="422" width="10" bestFit="1" customWidth="1"/>
    <col min="423" max="423" width="7" bestFit="1" customWidth="1"/>
    <col min="424" max="425" width="10" bestFit="1" customWidth="1"/>
    <col min="426" max="426" width="9" bestFit="1" customWidth="1"/>
    <col min="427" max="427" width="7" bestFit="1" customWidth="1"/>
    <col min="428" max="428" width="9" bestFit="1" customWidth="1"/>
    <col min="429" max="436" width="10" bestFit="1" customWidth="1"/>
    <col min="437" max="437" width="7" bestFit="1" customWidth="1"/>
    <col min="438" max="440" width="10" bestFit="1" customWidth="1"/>
    <col min="441" max="441" width="7" bestFit="1" customWidth="1"/>
    <col min="442" max="443" width="10" bestFit="1" customWidth="1"/>
    <col min="444" max="444" width="7" bestFit="1" customWidth="1"/>
    <col min="445" max="446" width="10" bestFit="1" customWidth="1"/>
    <col min="447" max="447" width="7" bestFit="1" customWidth="1"/>
    <col min="448" max="448" width="10" bestFit="1" customWidth="1"/>
    <col min="449" max="449" width="7" bestFit="1" customWidth="1"/>
    <col min="450" max="450" width="10" bestFit="1" customWidth="1"/>
    <col min="451" max="451" width="7" bestFit="1" customWidth="1"/>
    <col min="452" max="452" width="10" bestFit="1" customWidth="1"/>
    <col min="453" max="453" width="7" bestFit="1" customWidth="1"/>
    <col min="454" max="455" width="10" bestFit="1" customWidth="1"/>
    <col min="456" max="456" width="7" bestFit="1" customWidth="1"/>
    <col min="457" max="458" width="10" bestFit="1" customWidth="1"/>
    <col min="459" max="459" width="7" bestFit="1" customWidth="1"/>
    <col min="460" max="462" width="10" bestFit="1" customWidth="1"/>
    <col min="463" max="463" width="9" bestFit="1" customWidth="1"/>
    <col min="464" max="466" width="10" bestFit="1" customWidth="1"/>
    <col min="467" max="468" width="7" bestFit="1" customWidth="1"/>
    <col min="469" max="469" width="9" bestFit="1" customWidth="1"/>
    <col min="470" max="473" width="10" bestFit="1" customWidth="1"/>
    <col min="474" max="474" width="7" bestFit="1" customWidth="1"/>
    <col min="475" max="477" width="10" bestFit="1" customWidth="1"/>
    <col min="478" max="478" width="9" bestFit="1" customWidth="1"/>
    <col min="479" max="480" width="10" bestFit="1" customWidth="1"/>
    <col min="481" max="481" width="7" bestFit="1" customWidth="1"/>
    <col min="482" max="482" width="10" bestFit="1" customWidth="1"/>
    <col min="483" max="483" width="7" bestFit="1" customWidth="1"/>
    <col min="484" max="487" width="10" bestFit="1" customWidth="1"/>
    <col min="488" max="488" width="9" bestFit="1" customWidth="1"/>
    <col min="489" max="493" width="10" bestFit="1" customWidth="1"/>
    <col min="494" max="494" width="9" bestFit="1" customWidth="1"/>
    <col min="495" max="507" width="10" bestFit="1" customWidth="1"/>
    <col min="508" max="508" width="9" bestFit="1" customWidth="1"/>
    <col min="509" max="509" width="10" bestFit="1" customWidth="1"/>
    <col min="510" max="511" width="7" bestFit="1" customWidth="1"/>
    <col min="512" max="519" width="10" bestFit="1" customWidth="1"/>
    <col min="520" max="520" width="7" bestFit="1" customWidth="1"/>
    <col min="521" max="526" width="10" bestFit="1" customWidth="1"/>
    <col min="527" max="527" width="7" bestFit="1" customWidth="1"/>
    <col min="528" max="531" width="10" bestFit="1" customWidth="1"/>
    <col min="532" max="532" width="9" bestFit="1" customWidth="1"/>
    <col min="533" max="534" width="10" bestFit="1" customWidth="1"/>
    <col min="535" max="535" width="9" bestFit="1" customWidth="1"/>
    <col min="536" max="538" width="10" bestFit="1" customWidth="1"/>
    <col min="539" max="539" width="7" bestFit="1" customWidth="1"/>
    <col min="540" max="540" width="9" bestFit="1" customWidth="1"/>
    <col min="541" max="541" width="10" bestFit="1" customWidth="1"/>
    <col min="542" max="542" width="7" bestFit="1" customWidth="1"/>
    <col min="543" max="546" width="10" bestFit="1" customWidth="1"/>
    <col min="547" max="547" width="7" bestFit="1" customWidth="1"/>
    <col min="548" max="548" width="10" bestFit="1" customWidth="1"/>
    <col min="549" max="551" width="7" bestFit="1" customWidth="1"/>
    <col min="552" max="553" width="10" bestFit="1" customWidth="1"/>
    <col min="554" max="555" width="7" bestFit="1" customWidth="1"/>
    <col min="556" max="564" width="10" bestFit="1" customWidth="1"/>
    <col min="565" max="565" width="7" bestFit="1" customWidth="1"/>
    <col min="566" max="566" width="9" bestFit="1" customWidth="1"/>
    <col min="567" max="569" width="10" bestFit="1" customWidth="1"/>
    <col min="570" max="570" width="9" bestFit="1" customWidth="1"/>
    <col min="571" max="571" width="10" bestFit="1" customWidth="1"/>
    <col min="572" max="572" width="9" bestFit="1" customWidth="1"/>
    <col min="573" max="573" width="10" bestFit="1" customWidth="1"/>
    <col min="574" max="574" width="9" bestFit="1" customWidth="1"/>
    <col min="575" max="575" width="10" bestFit="1" customWidth="1"/>
    <col min="576" max="576" width="7" bestFit="1" customWidth="1"/>
    <col min="577" max="579" width="10" bestFit="1" customWidth="1"/>
    <col min="580" max="580" width="9" bestFit="1" customWidth="1"/>
    <col min="581" max="582" width="7" bestFit="1" customWidth="1"/>
    <col min="583" max="583" width="10" bestFit="1" customWidth="1"/>
    <col min="584" max="584" width="9" bestFit="1" customWidth="1"/>
    <col min="585" max="585" width="7" bestFit="1" customWidth="1"/>
    <col min="586" max="592" width="10" bestFit="1" customWidth="1"/>
    <col min="593" max="593" width="7" bestFit="1" customWidth="1"/>
    <col min="594" max="595" width="10" bestFit="1" customWidth="1"/>
    <col min="596" max="596" width="7" bestFit="1" customWidth="1"/>
    <col min="597" max="599" width="10" bestFit="1" customWidth="1"/>
    <col min="600" max="600" width="9" bestFit="1" customWidth="1"/>
    <col min="601" max="603" width="10" bestFit="1" customWidth="1"/>
    <col min="604" max="604" width="9" bestFit="1" customWidth="1"/>
    <col min="605" max="606" width="10" bestFit="1" customWidth="1"/>
    <col min="607" max="607" width="7" bestFit="1" customWidth="1"/>
    <col min="608" max="608" width="10" bestFit="1" customWidth="1"/>
    <col min="609" max="610" width="7" bestFit="1" customWidth="1"/>
    <col min="611" max="613" width="10" bestFit="1" customWidth="1"/>
    <col min="614" max="614" width="7" bestFit="1" customWidth="1"/>
    <col min="615" max="620" width="10" bestFit="1" customWidth="1"/>
    <col min="621" max="622" width="7" bestFit="1" customWidth="1"/>
    <col min="623" max="629" width="10" bestFit="1" customWidth="1"/>
    <col min="630" max="630" width="7" bestFit="1" customWidth="1"/>
    <col min="631" max="632" width="10" bestFit="1" customWidth="1"/>
    <col min="633" max="633" width="9" bestFit="1" customWidth="1"/>
    <col min="634" max="638" width="10" bestFit="1" customWidth="1"/>
    <col min="639" max="639" width="7" bestFit="1" customWidth="1"/>
    <col min="640" max="642" width="10" bestFit="1" customWidth="1"/>
    <col min="643" max="643" width="7" bestFit="1" customWidth="1"/>
    <col min="644" max="647" width="10" bestFit="1" customWidth="1"/>
    <col min="648" max="648" width="8" bestFit="1" customWidth="1"/>
    <col min="649" max="649" width="11" bestFit="1" customWidth="1"/>
    <col min="650" max="650" width="8" bestFit="1" customWidth="1"/>
    <col min="651" max="657" width="11" bestFit="1" customWidth="1"/>
    <col min="658" max="658" width="8" bestFit="1" customWidth="1"/>
    <col min="659" max="659" width="10" bestFit="1" customWidth="1"/>
    <col min="660" max="660" width="8" bestFit="1" customWidth="1"/>
    <col min="661" max="661" width="11" bestFit="1" customWidth="1"/>
    <col min="662" max="662" width="8" bestFit="1" customWidth="1"/>
    <col min="663" max="665" width="11" bestFit="1" customWidth="1"/>
    <col min="666" max="667" width="8" bestFit="1" customWidth="1"/>
    <col min="668" max="672" width="11" bestFit="1" customWidth="1"/>
    <col min="673" max="673" width="10" bestFit="1" customWidth="1"/>
    <col min="674" max="677" width="11" bestFit="1" customWidth="1"/>
    <col min="678" max="678" width="10" bestFit="1" customWidth="1"/>
    <col min="679" max="681" width="11" bestFit="1" customWidth="1"/>
    <col min="682" max="682" width="10" bestFit="1" customWidth="1"/>
    <col min="683" max="685" width="11" bestFit="1" customWidth="1"/>
    <col min="686" max="686" width="8" bestFit="1" customWidth="1"/>
    <col min="687" max="692" width="11" bestFit="1" customWidth="1"/>
    <col min="693" max="693" width="10" bestFit="1" customWidth="1"/>
    <col min="694" max="697" width="11" bestFit="1" customWidth="1"/>
    <col min="698" max="698" width="8" bestFit="1" customWidth="1"/>
    <col min="699" max="699" width="11" bestFit="1" customWidth="1"/>
    <col min="700" max="700" width="8" bestFit="1" customWidth="1"/>
    <col min="701" max="706" width="11" bestFit="1" customWidth="1"/>
    <col min="707" max="708" width="8" bestFit="1" customWidth="1"/>
    <col min="709" max="712" width="11" bestFit="1" customWidth="1"/>
    <col min="713" max="713" width="10" bestFit="1" customWidth="1"/>
    <col min="714" max="715" width="11" bestFit="1" customWidth="1"/>
    <col min="716" max="716" width="8" bestFit="1" customWidth="1"/>
    <col min="717" max="720" width="11" bestFit="1" customWidth="1"/>
    <col min="721" max="721" width="8" bestFit="1" customWidth="1"/>
    <col min="722" max="739" width="11" bestFit="1" customWidth="1"/>
    <col min="740" max="740" width="8" bestFit="1" customWidth="1"/>
    <col min="741" max="742" width="11" bestFit="1" customWidth="1"/>
    <col min="743" max="743" width="8" bestFit="1" customWidth="1"/>
    <col min="744" max="745" width="11" bestFit="1" customWidth="1"/>
    <col min="746" max="746" width="10" bestFit="1" customWidth="1"/>
    <col min="747" max="748" width="11" bestFit="1" customWidth="1"/>
    <col min="749" max="749" width="8" bestFit="1" customWidth="1"/>
    <col min="750" max="752" width="11" bestFit="1" customWidth="1"/>
    <col min="753" max="753" width="10" bestFit="1" customWidth="1"/>
    <col min="754" max="758" width="11" bestFit="1" customWidth="1"/>
    <col min="759" max="759" width="8" bestFit="1" customWidth="1"/>
    <col min="760" max="769" width="11" bestFit="1" customWidth="1"/>
    <col min="770" max="770" width="8" bestFit="1" customWidth="1"/>
    <col min="771" max="775" width="11" bestFit="1" customWidth="1"/>
    <col min="776" max="776" width="10" bestFit="1" customWidth="1"/>
    <col min="777" max="779" width="11" bestFit="1" customWidth="1"/>
    <col min="780" max="780" width="10" bestFit="1" customWidth="1"/>
    <col min="781" max="781" width="8" bestFit="1" customWidth="1"/>
    <col min="782" max="786" width="11" bestFit="1" customWidth="1"/>
    <col min="787" max="787" width="8" bestFit="1" customWidth="1"/>
    <col min="788" max="793" width="11" bestFit="1" customWidth="1"/>
    <col min="794" max="794" width="8" bestFit="1" customWidth="1"/>
    <col min="795" max="798" width="11" bestFit="1" customWidth="1"/>
    <col min="799" max="799" width="8" bestFit="1" customWidth="1"/>
    <col min="800" max="817" width="11" bestFit="1" customWidth="1"/>
    <col min="818" max="818" width="10" bestFit="1" customWidth="1"/>
    <col min="819" max="819" width="11" bestFit="1" customWidth="1"/>
    <col min="820" max="820" width="10" bestFit="1" customWidth="1"/>
    <col min="821" max="824" width="11" bestFit="1" customWidth="1"/>
    <col min="825" max="825" width="8" bestFit="1" customWidth="1"/>
    <col min="826" max="826" width="11" bestFit="1" customWidth="1"/>
    <col min="827" max="827" width="8" bestFit="1" customWidth="1"/>
    <col min="828" max="830" width="11" bestFit="1" customWidth="1"/>
    <col min="831" max="831" width="8" bestFit="1" customWidth="1"/>
    <col min="832" max="832" width="11" bestFit="1" customWidth="1"/>
    <col min="833" max="834" width="10" bestFit="1" customWidth="1"/>
    <col min="835" max="840" width="11" bestFit="1" customWidth="1"/>
    <col min="841" max="841" width="8" bestFit="1" customWidth="1"/>
    <col min="842" max="842" width="11" bestFit="1" customWidth="1"/>
    <col min="843" max="843" width="8" bestFit="1" customWidth="1"/>
    <col min="844" max="847" width="11" bestFit="1" customWidth="1"/>
    <col min="848" max="849" width="8" bestFit="1" customWidth="1"/>
    <col min="850" max="852" width="11" bestFit="1" customWidth="1"/>
    <col min="853" max="853" width="10" bestFit="1" customWidth="1"/>
    <col min="854" max="854" width="11" bestFit="1" customWidth="1"/>
    <col min="855" max="855" width="8" bestFit="1" customWidth="1"/>
    <col min="856" max="859" width="11" bestFit="1" customWidth="1"/>
    <col min="860" max="860" width="8" bestFit="1" customWidth="1"/>
    <col min="861" max="861" width="11" bestFit="1" customWidth="1"/>
    <col min="862" max="863" width="10" bestFit="1" customWidth="1"/>
    <col min="864" max="875" width="11" bestFit="1" customWidth="1"/>
    <col min="876" max="876" width="8" bestFit="1" customWidth="1"/>
    <col min="877" max="881" width="11" bestFit="1" customWidth="1"/>
    <col min="882" max="882" width="8" bestFit="1" customWidth="1"/>
    <col min="883" max="905" width="11" bestFit="1" customWidth="1"/>
    <col min="906" max="906" width="8" bestFit="1" customWidth="1"/>
    <col min="907" max="925" width="11" bestFit="1" customWidth="1"/>
    <col min="926" max="926" width="10" bestFit="1" customWidth="1"/>
    <col min="927" max="941" width="11" bestFit="1" customWidth="1"/>
    <col min="942" max="942" width="8" bestFit="1" customWidth="1"/>
    <col min="943" max="947" width="11" bestFit="1" customWidth="1"/>
    <col min="948" max="948" width="8" bestFit="1" customWidth="1"/>
    <col min="949" max="949" width="10" bestFit="1" customWidth="1"/>
    <col min="950" max="951" width="11" bestFit="1" customWidth="1"/>
    <col min="952" max="952" width="8" bestFit="1" customWidth="1"/>
    <col min="953" max="964" width="11" bestFit="1" customWidth="1"/>
    <col min="965" max="965" width="8" bestFit="1" customWidth="1"/>
    <col min="966" max="966" width="10" bestFit="1" customWidth="1"/>
    <col min="967" max="969" width="11" bestFit="1" customWidth="1"/>
    <col min="970" max="970" width="10" bestFit="1" customWidth="1"/>
    <col min="971" max="971" width="11" bestFit="1" customWidth="1"/>
    <col min="972" max="972" width="10" bestFit="1" customWidth="1"/>
    <col min="973" max="975" width="11" bestFit="1" customWidth="1"/>
    <col min="976" max="976" width="8" bestFit="1" customWidth="1"/>
    <col min="977" max="978" width="11" bestFit="1" customWidth="1"/>
    <col min="979" max="980" width="10" bestFit="1" customWidth="1"/>
    <col min="981" max="985" width="11" bestFit="1" customWidth="1"/>
    <col min="986" max="986" width="10" bestFit="1" customWidth="1"/>
    <col min="987" max="991" width="11" bestFit="1" customWidth="1"/>
    <col min="992" max="993" width="10" bestFit="1" customWidth="1"/>
    <col min="994" max="995" width="11" bestFit="1" customWidth="1"/>
    <col min="996" max="996" width="8" bestFit="1" customWidth="1"/>
    <col min="997" max="997" width="11" bestFit="1" customWidth="1"/>
    <col min="998" max="998" width="10" bestFit="1" customWidth="1"/>
    <col min="999" max="1000" width="11" bestFit="1" customWidth="1"/>
    <col min="1001" max="1001" width="8" bestFit="1" customWidth="1"/>
    <col min="1002" max="1006" width="11" bestFit="1" customWidth="1"/>
    <col min="1007" max="1007" width="10" bestFit="1" customWidth="1"/>
    <col min="1008" max="1008" width="11" bestFit="1" customWidth="1"/>
    <col min="1009" max="1009" width="8" bestFit="1" customWidth="1"/>
    <col min="1010" max="1010" width="11" bestFit="1" customWidth="1"/>
    <col min="1011" max="1011" width="8" bestFit="1" customWidth="1"/>
    <col min="1012" max="1017" width="11" bestFit="1" customWidth="1"/>
    <col min="1018" max="1018" width="8" bestFit="1" customWidth="1"/>
    <col min="1019" max="1021" width="11" bestFit="1" customWidth="1"/>
    <col min="1022" max="1022" width="8" bestFit="1" customWidth="1"/>
    <col min="1023" max="1027" width="11" bestFit="1" customWidth="1"/>
    <col min="1028" max="1028" width="8" bestFit="1" customWidth="1"/>
    <col min="1029" max="1033" width="11" bestFit="1" customWidth="1"/>
    <col min="1034" max="1034" width="10" bestFit="1" customWidth="1"/>
    <col min="1035" max="1036" width="11" bestFit="1" customWidth="1"/>
    <col min="1037" max="1037" width="10" bestFit="1" customWidth="1"/>
    <col min="1038" max="1046" width="11" bestFit="1" customWidth="1"/>
    <col min="1047" max="1049" width="10" bestFit="1" customWidth="1"/>
    <col min="1050" max="1066" width="11" bestFit="1" customWidth="1"/>
    <col min="1067" max="1067" width="8" bestFit="1" customWidth="1"/>
    <col min="1068" max="1074" width="11" bestFit="1" customWidth="1"/>
    <col min="1075" max="1075" width="10" bestFit="1" customWidth="1"/>
    <col min="1076" max="1079" width="11" bestFit="1" customWidth="1"/>
    <col min="1080" max="1080" width="10" bestFit="1" customWidth="1"/>
    <col min="1081" max="1086" width="11" bestFit="1" customWidth="1"/>
    <col min="1087" max="1087" width="8" bestFit="1" customWidth="1"/>
    <col min="1088" max="1091" width="11" bestFit="1" customWidth="1"/>
    <col min="1092" max="1092" width="10" bestFit="1" customWidth="1"/>
    <col min="1093" max="1100" width="11" bestFit="1" customWidth="1"/>
    <col min="1101" max="1103" width="8" bestFit="1" customWidth="1"/>
    <col min="1104" max="1108" width="11" bestFit="1" customWidth="1"/>
    <col min="1109" max="1109" width="12" bestFit="1" customWidth="1"/>
    <col min="1110" max="1110" width="9" bestFit="1" customWidth="1"/>
    <col min="1111" max="1111" width="12" bestFit="1" customWidth="1"/>
    <col min="1112" max="1112" width="11" bestFit="1" customWidth="1"/>
    <col min="1113" max="1116" width="12" bestFit="1" customWidth="1"/>
    <col min="1117" max="1117" width="11" bestFit="1" customWidth="1"/>
    <col min="1118" max="1121" width="12" bestFit="1" customWidth="1"/>
    <col min="1122" max="1122" width="9" bestFit="1" customWidth="1"/>
    <col min="1123" max="1131" width="12" bestFit="1" customWidth="1"/>
    <col min="1132" max="1132" width="9" bestFit="1" customWidth="1"/>
    <col min="1133" max="1134" width="12" bestFit="1" customWidth="1"/>
    <col min="1135" max="1135" width="11" bestFit="1" customWidth="1"/>
    <col min="1136" max="1143" width="12" bestFit="1" customWidth="1"/>
    <col min="1144" max="1144" width="11" bestFit="1" customWidth="1"/>
    <col min="1145" max="1145" width="9" bestFit="1" customWidth="1"/>
    <col min="1146" max="1151" width="12" bestFit="1" customWidth="1"/>
    <col min="1152" max="1152" width="9" bestFit="1" customWidth="1"/>
    <col min="1153" max="1157" width="12" bestFit="1" customWidth="1"/>
    <col min="1158" max="1158" width="11" bestFit="1" customWidth="1"/>
    <col min="1159" max="1163" width="12" bestFit="1" customWidth="1"/>
    <col min="1164" max="1164" width="9" bestFit="1" customWidth="1"/>
    <col min="1165" max="1177" width="12" bestFit="1" customWidth="1"/>
    <col min="1178" max="1178" width="11" bestFit="1" customWidth="1"/>
    <col min="1179" max="1179" width="9" bestFit="1" customWidth="1"/>
    <col min="1180" max="1191" width="12" bestFit="1" customWidth="1"/>
    <col min="1192" max="1192" width="11" bestFit="1" customWidth="1"/>
    <col min="1193" max="1204" width="12" bestFit="1" customWidth="1"/>
    <col min="1205" max="1205" width="9" bestFit="1" customWidth="1"/>
    <col min="1206" max="1206" width="11" bestFit="1" customWidth="1"/>
    <col min="1207" max="1222" width="12" bestFit="1" customWidth="1"/>
    <col min="1223" max="1223" width="9" bestFit="1" customWidth="1"/>
    <col min="1224" max="1226" width="12" bestFit="1" customWidth="1"/>
    <col min="1227" max="1228" width="11" bestFit="1" customWidth="1"/>
    <col min="1229" max="1229" width="12" bestFit="1" customWidth="1"/>
    <col min="1230" max="1230" width="9" bestFit="1" customWidth="1"/>
    <col min="1231" max="1231" width="12" bestFit="1" customWidth="1"/>
    <col min="1232" max="1232" width="11" bestFit="1" customWidth="1"/>
    <col min="1233" max="1234" width="12" bestFit="1" customWidth="1"/>
    <col min="1235" max="1235" width="9" bestFit="1" customWidth="1"/>
    <col min="1236" max="1243" width="12" bestFit="1" customWidth="1"/>
    <col min="1244" max="1244" width="11" bestFit="1" customWidth="1"/>
    <col min="1245" max="1245" width="12" bestFit="1" customWidth="1"/>
    <col min="1246" max="1246" width="9" bestFit="1" customWidth="1"/>
    <col min="1247" max="1249" width="12" bestFit="1" customWidth="1"/>
    <col min="1250" max="1251" width="11" bestFit="1" customWidth="1"/>
    <col min="1252" max="1257" width="12" bestFit="1" customWidth="1"/>
    <col min="1258" max="1258" width="11" bestFit="1" customWidth="1"/>
    <col min="1259" max="1264" width="12" bestFit="1" customWidth="1"/>
    <col min="1265" max="1265" width="11" bestFit="1" customWidth="1"/>
    <col min="1266" max="1266" width="12" bestFit="1" customWidth="1"/>
    <col min="1267" max="1267" width="11" bestFit="1" customWidth="1"/>
    <col min="1268" max="1269" width="12" bestFit="1" customWidth="1"/>
    <col min="1270" max="1270" width="11" bestFit="1" customWidth="1"/>
    <col min="1271" max="1273" width="12" bestFit="1" customWidth="1"/>
    <col min="1274" max="1274" width="9" bestFit="1" customWidth="1"/>
    <col min="1275" max="1282" width="12" bestFit="1" customWidth="1"/>
    <col min="1283" max="1283" width="11" bestFit="1" customWidth="1"/>
    <col min="1284" max="1287" width="12" bestFit="1" customWidth="1"/>
    <col min="1288" max="1289" width="11" bestFit="1" customWidth="1"/>
    <col min="1290" max="1292" width="12" bestFit="1" customWidth="1"/>
    <col min="1293" max="1293" width="9" bestFit="1" customWidth="1"/>
    <col min="1294" max="1294" width="11" bestFit="1" customWidth="1"/>
    <col min="1295" max="1298" width="12" bestFit="1" customWidth="1"/>
    <col min="1299" max="1299" width="11" bestFit="1" customWidth="1"/>
    <col min="1300" max="1301" width="12" bestFit="1" customWidth="1"/>
    <col min="1302" max="1302" width="9" bestFit="1" customWidth="1"/>
    <col min="1303" max="1304" width="12" bestFit="1" customWidth="1"/>
    <col min="1305" max="1305" width="11" bestFit="1" customWidth="1"/>
    <col min="1306" max="1306" width="12" bestFit="1" customWidth="1"/>
    <col min="1307" max="1307" width="9" bestFit="1" customWidth="1"/>
    <col min="1308" max="1309" width="11" bestFit="1" customWidth="1"/>
    <col min="1310" max="1312" width="12" bestFit="1" customWidth="1"/>
    <col min="1313" max="1313" width="9" bestFit="1" customWidth="1"/>
    <col min="1314" max="1319" width="12" bestFit="1" customWidth="1"/>
    <col min="1320" max="1321" width="9" bestFit="1" customWidth="1"/>
    <col min="1322" max="1334" width="12" bestFit="1" customWidth="1"/>
    <col min="1335" max="1335" width="9" bestFit="1" customWidth="1"/>
    <col min="1336" max="1346" width="12" bestFit="1" customWidth="1"/>
    <col min="1347" max="1347" width="9" bestFit="1" customWidth="1"/>
    <col min="1348" max="1354" width="12" bestFit="1" customWidth="1"/>
    <col min="1355" max="1355" width="11" bestFit="1" customWidth="1"/>
    <col min="1356" max="1362" width="12" bestFit="1" customWidth="1"/>
    <col min="1363" max="1363" width="9" bestFit="1" customWidth="1"/>
    <col min="1364" max="1365" width="12" bestFit="1" customWidth="1"/>
    <col min="1366" max="1366" width="9" bestFit="1" customWidth="1"/>
    <col min="1367" max="1382" width="12" bestFit="1" customWidth="1"/>
    <col min="1383" max="1383" width="11" bestFit="1" customWidth="1"/>
    <col min="1384" max="1387" width="12" bestFit="1" customWidth="1"/>
    <col min="1388" max="1388" width="9" bestFit="1" customWidth="1"/>
    <col min="1389" max="1402" width="12" bestFit="1" customWidth="1"/>
    <col min="1403" max="1403" width="11" bestFit="1" customWidth="1"/>
    <col min="1404" max="1405" width="12" bestFit="1" customWidth="1"/>
    <col min="1406" max="1406" width="11" bestFit="1" customWidth="1"/>
    <col min="1407" max="1408" width="12" bestFit="1" customWidth="1"/>
    <col min="1409" max="1411" width="9" bestFit="1" customWidth="1"/>
    <col min="1412" max="1412" width="11" bestFit="1" customWidth="1"/>
    <col min="1413" max="1415" width="12" bestFit="1" customWidth="1"/>
    <col min="1416" max="1416" width="9" bestFit="1" customWidth="1"/>
    <col min="1417" max="1427" width="12" bestFit="1" customWidth="1"/>
    <col min="1428" max="1429" width="9" bestFit="1" customWidth="1"/>
    <col min="1430" max="1430" width="12" bestFit="1" customWidth="1"/>
    <col min="1431" max="1431" width="11" bestFit="1" customWidth="1"/>
    <col min="1432" max="1434" width="12" bestFit="1" customWidth="1"/>
    <col min="1435" max="1435" width="11" bestFit="1" customWidth="1"/>
    <col min="1436" max="1459" width="12" bestFit="1" customWidth="1"/>
    <col min="1460" max="1461" width="11" bestFit="1" customWidth="1"/>
    <col min="1462" max="1466" width="12" bestFit="1" customWidth="1"/>
    <col min="1467" max="1467" width="11" bestFit="1" customWidth="1"/>
    <col min="1468" max="1476" width="12" bestFit="1" customWidth="1"/>
    <col min="1477" max="1477" width="11" bestFit="1" customWidth="1"/>
    <col min="1478" max="1487" width="12" bestFit="1" customWidth="1"/>
    <col min="1488" max="1488" width="9" bestFit="1" customWidth="1"/>
    <col min="1489" max="1489" width="11" bestFit="1" customWidth="1"/>
    <col min="1490" max="1506" width="12" bestFit="1" customWidth="1"/>
    <col min="1507" max="1507" width="9" bestFit="1" customWidth="1"/>
    <col min="1508" max="1509" width="12" bestFit="1" customWidth="1"/>
    <col min="1510" max="1510" width="9" bestFit="1" customWidth="1"/>
    <col min="1511" max="1514" width="12" bestFit="1" customWidth="1"/>
    <col min="1515" max="1515" width="9" bestFit="1" customWidth="1"/>
    <col min="1516" max="1518" width="12" bestFit="1" customWidth="1"/>
    <col min="1519" max="1519" width="9" bestFit="1" customWidth="1"/>
    <col min="1520" max="1522" width="12" bestFit="1" customWidth="1"/>
    <col min="1523" max="1523" width="11" bestFit="1" customWidth="1"/>
    <col min="1524" max="1527" width="12" bestFit="1" customWidth="1"/>
    <col min="1528" max="1528" width="10" bestFit="1" customWidth="1"/>
    <col min="1529" max="1533" width="12" bestFit="1" customWidth="1"/>
    <col min="1534" max="1534" width="10" bestFit="1" customWidth="1"/>
    <col min="1535" max="1535" width="12" bestFit="1" customWidth="1"/>
    <col min="1536" max="1536" width="10" bestFit="1" customWidth="1"/>
    <col min="1537" max="1537" width="12" bestFit="1" customWidth="1"/>
    <col min="1538" max="1538" width="10" bestFit="1" customWidth="1"/>
    <col min="1539" max="1540" width="12" bestFit="1" customWidth="1"/>
    <col min="1541" max="1541" width="10" bestFit="1" customWidth="1"/>
    <col min="1542" max="1543" width="12" bestFit="1" customWidth="1"/>
    <col min="1544" max="1544" width="10" bestFit="1" customWidth="1"/>
    <col min="1545" max="1585" width="12" bestFit="1" customWidth="1"/>
    <col min="1586" max="1587" width="10" bestFit="1" customWidth="1"/>
    <col min="1588" max="1605" width="12" bestFit="1" customWidth="1"/>
    <col min="1606" max="1607" width="10" bestFit="1" customWidth="1"/>
    <col min="1608" max="1612" width="12" bestFit="1" customWidth="1"/>
    <col min="1613" max="1613" width="10" bestFit="1" customWidth="1"/>
    <col min="1614" max="1622" width="12" bestFit="1" customWidth="1"/>
    <col min="1623" max="1623" width="10" bestFit="1" customWidth="1"/>
    <col min="1624" max="1624" width="12" bestFit="1" customWidth="1"/>
    <col min="1625" max="1625" width="10" bestFit="1" customWidth="1"/>
    <col min="1626" max="1652" width="12" bestFit="1" customWidth="1"/>
    <col min="1653" max="1653" width="10" bestFit="1" customWidth="1"/>
    <col min="1654" max="1676" width="12" bestFit="1" customWidth="1"/>
    <col min="1677" max="1677" width="10" bestFit="1" customWidth="1"/>
    <col min="1678" max="1686" width="12" bestFit="1" customWidth="1"/>
    <col min="1687" max="1688" width="10" bestFit="1" customWidth="1"/>
    <col min="1689" max="1691" width="12" bestFit="1" customWidth="1"/>
    <col min="1692" max="1692" width="10" bestFit="1" customWidth="1"/>
    <col min="1693" max="1698" width="12" bestFit="1" customWidth="1"/>
    <col min="1699" max="1699" width="10" bestFit="1" customWidth="1"/>
    <col min="1700" max="1702" width="12" bestFit="1" customWidth="1"/>
    <col min="1703" max="1704" width="10" bestFit="1" customWidth="1"/>
    <col min="1705" max="1715" width="12" bestFit="1" customWidth="1"/>
    <col min="1716" max="1716" width="10" bestFit="1" customWidth="1"/>
    <col min="1717" max="1718" width="12" bestFit="1" customWidth="1"/>
    <col min="1719" max="1719" width="10" bestFit="1" customWidth="1"/>
    <col min="1720" max="1720" width="12" bestFit="1" customWidth="1"/>
    <col min="1721" max="1722" width="10" bestFit="1" customWidth="1"/>
    <col min="1723" max="1724" width="12" bestFit="1" customWidth="1"/>
    <col min="1725" max="1725" width="10" bestFit="1" customWidth="1"/>
    <col min="1726" max="1734" width="12" bestFit="1" customWidth="1"/>
    <col min="1735" max="1736" width="10" bestFit="1" customWidth="1"/>
    <col min="1737" max="1737" width="12" bestFit="1" customWidth="1"/>
    <col min="1738" max="1738" width="10" bestFit="1" customWidth="1"/>
    <col min="1739" max="1743" width="12" bestFit="1" customWidth="1"/>
    <col min="1744" max="1744" width="10" bestFit="1" customWidth="1"/>
    <col min="1745" max="1753" width="12" bestFit="1" customWidth="1"/>
    <col min="1754" max="1754" width="10" bestFit="1" customWidth="1"/>
    <col min="1755" max="1759" width="12" bestFit="1" customWidth="1"/>
    <col min="1760" max="1760" width="10" bestFit="1" customWidth="1"/>
    <col min="1761" max="1765" width="12" bestFit="1" customWidth="1"/>
    <col min="1766" max="1766" width="10" bestFit="1" customWidth="1"/>
    <col min="1767" max="1782" width="12" bestFit="1" customWidth="1"/>
    <col min="1783" max="1783" width="10" bestFit="1" customWidth="1"/>
    <col min="1784" max="1899" width="11" bestFit="1" customWidth="1"/>
    <col min="1900" max="1923" width="12" bestFit="1" customWidth="1"/>
    <col min="1924" max="1924" width="11" bestFit="1" customWidth="1"/>
    <col min="1925" max="1925" width="12" bestFit="1" customWidth="1"/>
    <col min="1926" max="1926" width="9" bestFit="1" customWidth="1"/>
    <col min="1927" max="1927" width="11" bestFit="1" customWidth="1"/>
    <col min="1928" max="1931" width="12" bestFit="1" customWidth="1"/>
    <col min="1932" max="1932" width="10.7109375" bestFit="1" customWidth="1"/>
  </cols>
  <sheetData>
    <row r="2" spans="1:278" x14ac:dyDescent="0.25">
      <c r="A2" s="3" t="s">
        <v>134</v>
      </c>
      <c r="B2" s="5" t="s">
        <v>144</v>
      </c>
      <c r="D2" s="3" t="s">
        <v>134</v>
      </c>
      <c r="E2" s="5" t="s">
        <v>146</v>
      </c>
      <c r="G2" s="3" t="s">
        <v>134</v>
      </c>
      <c r="H2" s="5" t="s">
        <v>145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</row>
    <row r="3" spans="1:278" x14ac:dyDescent="0.25">
      <c r="A3" s="4" t="s">
        <v>136</v>
      </c>
      <c r="B3" s="5">
        <v>1754343775354.0405</v>
      </c>
      <c r="D3" s="4" t="s">
        <v>136</v>
      </c>
      <c r="E3" s="5">
        <v>578376298680.67017</v>
      </c>
      <c r="G3" s="4" t="s">
        <v>136</v>
      </c>
      <c r="H3" s="5">
        <v>506732497022.9801</v>
      </c>
    </row>
    <row r="4" spans="1:278" x14ac:dyDescent="0.25">
      <c r="A4" s="4" t="s">
        <v>137</v>
      </c>
      <c r="B4" s="5">
        <v>143063894915.0499</v>
      </c>
      <c r="D4" s="4" t="s">
        <v>137</v>
      </c>
      <c r="E4" s="5">
        <v>222916699879.16995</v>
      </c>
      <c r="G4" s="4" t="s">
        <v>137</v>
      </c>
      <c r="H4" s="5">
        <v>221169751959.98001</v>
      </c>
    </row>
    <row r="5" spans="1:278" x14ac:dyDescent="0.25">
      <c r="A5" s="4" t="s">
        <v>138</v>
      </c>
      <c r="B5" s="5">
        <v>201968385732.50009</v>
      </c>
      <c r="D5" s="4" t="s">
        <v>138</v>
      </c>
      <c r="E5" s="5">
        <v>393300237918.57001</v>
      </c>
      <c r="G5" s="4" t="s">
        <v>138</v>
      </c>
      <c r="H5" s="5">
        <v>392850475406.72003</v>
      </c>
    </row>
    <row r="6" spans="1:278" x14ac:dyDescent="0.25">
      <c r="A6" s="4" t="s">
        <v>139</v>
      </c>
      <c r="B6" s="5">
        <v>163452791404.71997</v>
      </c>
      <c r="D6" s="4" t="s">
        <v>139</v>
      </c>
      <c r="E6" s="5">
        <v>230160829228.53003</v>
      </c>
      <c r="G6" s="4" t="s">
        <v>139</v>
      </c>
      <c r="H6" s="5">
        <v>228961975605.13013</v>
      </c>
    </row>
    <row r="7" spans="1:278" x14ac:dyDescent="0.25">
      <c r="A7" s="4" t="s">
        <v>140</v>
      </c>
      <c r="B7" s="5">
        <v>358778113569.44989</v>
      </c>
      <c r="D7" s="4" t="s">
        <v>140</v>
      </c>
      <c r="E7" s="5">
        <v>500508737189.72992</v>
      </c>
      <c r="G7" s="4" t="s">
        <v>140</v>
      </c>
      <c r="H7" s="5">
        <v>475292747498.96985</v>
      </c>
    </row>
    <row r="8" spans="1:278" x14ac:dyDescent="0.25">
      <c r="A8" s="4" t="s">
        <v>141</v>
      </c>
      <c r="B8" s="5">
        <v>514378822031.2002</v>
      </c>
      <c r="D8" s="4" t="s">
        <v>141</v>
      </c>
      <c r="E8" s="5">
        <v>235300328057.42999</v>
      </c>
      <c r="G8" s="4" t="s">
        <v>141</v>
      </c>
      <c r="H8" s="5">
        <v>226100946227.44989</v>
      </c>
    </row>
    <row r="9" spans="1:278" x14ac:dyDescent="0.25">
      <c r="A9" s="4" t="s">
        <v>142</v>
      </c>
      <c r="B9" s="5">
        <v>317897778731.72003</v>
      </c>
      <c r="D9" s="4" t="s">
        <v>142</v>
      </c>
      <c r="E9" s="5">
        <v>497442172649.34973</v>
      </c>
      <c r="G9" s="4" t="s">
        <v>142</v>
      </c>
      <c r="H9" s="5">
        <v>529455930245.26959</v>
      </c>
    </row>
    <row r="10" spans="1:278" x14ac:dyDescent="0.25">
      <c r="A10" s="4" t="s">
        <v>143</v>
      </c>
      <c r="B10" s="5">
        <v>86395315254.230026</v>
      </c>
      <c r="D10" s="4" t="s">
        <v>143</v>
      </c>
      <c r="E10" s="5">
        <v>133819774953.83002</v>
      </c>
      <c r="G10" s="4" t="s">
        <v>143</v>
      </c>
      <c r="H10" s="5">
        <v>255052558956.91995</v>
      </c>
    </row>
    <row r="11" spans="1:278" x14ac:dyDescent="0.25">
      <c r="A11" s="4" t="s">
        <v>135</v>
      </c>
      <c r="B11" s="5">
        <v>3540278876992.9106</v>
      </c>
      <c r="D11" s="4" t="s">
        <v>135</v>
      </c>
      <c r="E11" s="5">
        <v>2791825078557.2798</v>
      </c>
      <c r="G11" s="4" t="s">
        <v>135</v>
      </c>
      <c r="H11" s="5">
        <v>2835616882923.4199</v>
      </c>
    </row>
    <row r="14" spans="1:278" x14ac:dyDescent="0.25">
      <c r="A14" s="3" t="s">
        <v>134</v>
      </c>
      <c r="B14" s="5" t="s">
        <v>145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</row>
    <row r="15" spans="1:278" x14ac:dyDescent="0.25">
      <c r="A15" s="4" t="s">
        <v>83</v>
      </c>
      <c r="B15" s="5">
        <v>896100.02000000014</v>
      </c>
    </row>
    <row r="16" spans="1:278" x14ac:dyDescent="0.25">
      <c r="A16" s="4" t="s">
        <v>41</v>
      </c>
      <c r="B16" s="5">
        <v>1705413.1700000002</v>
      </c>
    </row>
    <row r="17" spans="1:2" x14ac:dyDescent="0.25">
      <c r="A17" s="4" t="s">
        <v>27</v>
      </c>
      <c r="B17" s="5">
        <v>464290138.8499999</v>
      </c>
    </row>
    <row r="18" spans="1:2" x14ac:dyDescent="0.25">
      <c r="A18" s="4" t="s">
        <v>33</v>
      </c>
      <c r="B18" s="5">
        <v>15700478989.119995</v>
      </c>
    </row>
    <row r="19" spans="1:2" x14ac:dyDescent="0.25">
      <c r="A19" s="4" t="s">
        <v>54</v>
      </c>
      <c r="B19" s="5">
        <v>48195346348.500008</v>
      </c>
    </row>
    <row r="20" spans="1:2" x14ac:dyDescent="0.25">
      <c r="A20" s="4" t="s">
        <v>9</v>
      </c>
      <c r="B20" s="5">
        <v>7738403166.3400002</v>
      </c>
    </row>
    <row r="21" spans="1:2" x14ac:dyDescent="0.25">
      <c r="A21" s="4" t="s">
        <v>11</v>
      </c>
      <c r="B21" s="5">
        <v>2272115578.6600003</v>
      </c>
    </row>
    <row r="22" spans="1:2" x14ac:dyDescent="0.25">
      <c r="A22" s="4" t="s">
        <v>36</v>
      </c>
      <c r="B22" s="5">
        <v>168293639870.06003</v>
      </c>
    </row>
    <row r="23" spans="1:2" x14ac:dyDescent="0.25">
      <c r="A23" s="4" t="s">
        <v>28</v>
      </c>
      <c r="B23" s="5">
        <v>620985817259.4801</v>
      </c>
    </row>
    <row r="24" spans="1:2" x14ac:dyDescent="0.25">
      <c r="A24" s="4" t="s">
        <v>23</v>
      </c>
      <c r="B24" s="5">
        <v>94518348859.890015</v>
      </c>
    </row>
    <row r="25" spans="1:2" x14ac:dyDescent="0.25">
      <c r="A25" s="4" t="s">
        <v>65</v>
      </c>
      <c r="B25" s="5">
        <v>68818483028.070007</v>
      </c>
    </row>
    <row r="26" spans="1:2" x14ac:dyDescent="0.25">
      <c r="A26" s="4" t="s">
        <v>7</v>
      </c>
      <c r="B26" s="5">
        <v>71191949790.87001</v>
      </c>
    </row>
    <row r="27" spans="1:2" x14ac:dyDescent="0.25">
      <c r="A27" s="4" t="s">
        <v>62</v>
      </c>
      <c r="B27" s="5">
        <v>1113837704.4900002</v>
      </c>
    </row>
    <row r="28" spans="1:2" x14ac:dyDescent="0.25">
      <c r="A28" s="4" t="s">
        <v>37</v>
      </c>
      <c r="B28" s="5">
        <v>401234163.84000003</v>
      </c>
    </row>
    <row r="29" spans="1:2" x14ac:dyDescent="0.25">
      <c r="A29" s="4" t="s">
        <v>52</v>
      </c>
      <c r="B29" s="5">
        <v>610711201.32000017</v>
      </c>
    </row>
    <row r="30" spans="1:2" x14ac:dyDescent="0.25">
      <c r="A30" s="4" t="s">
        <v>45</v>
      </c>
      <c r="B30" s="5">
        <v>13333.34</v>
      </c>
    </row>
    <row r="31" spans="1:2" x14ac:dyDescent="0.25">
      <c r="A31" s="4" t="s">
        <v>87</v>
      </c>
      <c r="B31" s="5">
        <v>39692481.949999996</v>
      </c>
    </row>
    <row r="32" spans="1:2" x14ac:dyDescent="0.25">
      <c r="A32" s="4" t="s">
        <v>69</v>
      </c>
      <c r="B32" s="5">
        <v>1625102307.9399998</v>
      </c>
    </row>
    <row r="33" spans="1:2" x14ac:dyDescent="0.25">
      <c r="A33" s="4" t="s">
        <v>13</v>
      </c>
      <c r="B33" s="5">
        <v>3675183343.5700002</v>
      </c>
    </row>
    <row r="34" spans="1:2" x14ac:dyDescent="0.25">
      <c r="A34" s="4" t="s">
        <v>17</v>
      </c>
      <c r="B34" s="5">
        <v>11420389524.559994</v>
      </c>
    </row>
    <row r="35" spans="1:2" x14ac:dyDescent="0.25">
      <c r="A35" s="4" t="s">
        <v>26</v>
      </c>
      <c r="B35" s="5">
        <v>1634624309.5500004</v>
      </c>
    </row>
    <row r="36" spans="1:2" x14ac:dyDescent="0.25">
      <c r="A36" s="4" t="s">
        <v>43</v>
      </c>
      <c r="B36" s="5">
        <v>1128844029.9199998</v>
      </c>
    </row>
    <row r="37" spans="1:2" x14ac:dyDescent="0.25">
      <c r="A37" s="4" t="s">
        <v>21</v>
      </c>
      <c r="B37" s="5">
        <v>785976601.70999992</v>
      </c>
    </row>
    <row r="38" spans="1:2" x14ac:dyDescent="0.25">
      <c r="A38" s="4" t="s">
        <v>47</v>
      </c>
      <c r="B38" s="5">
        <v>760416087.08999991</v>
      </c>
    </row>
    <row r="39" spans="1:2" x14ac:dyDescent="0.25">
      <c r="A39" s="4" t="s">
        <v>15</v>
      </c>
      <c r="B39" s="5">
        <v>597522727.57999992</v>
      </c>
    </row>
    <row r="40" spans="1:2" x14ac:dyDescent="0.25">
      <c r="A40" s="4" t="s">
        <v>91</v>
      </c>
      <c r="B40" s="5">
        <v>5517369816.0600014</v>
      </c>
    </row>
    <row r="41" spans="1:2" x14ac:dyDescent="0.25">
      <c r="A41" s="4" t="s">
        <v>104</v>
      </c>
      <c r="B41" s="5">
        <v>67771171.950000003</v>
      </c>
    </row>
    <row r="42" spans="1:2" x14ac:dyDescent="0.25">
      <c r="A42" s="4" t="s">
        <v>31</v>
      </c>
      <c r="B42" s="5">
        <v>1708056719575.5198</v>
      </c>
    </row>
    <row r="43" spans="1:2" x14ac:dyDescent="0.25">
      <c r="A43" s="4" t="s">
        <v>135</v>
      </c>
      <c r="B43" s="5">
        <v>2835616882923.4199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ED963-A60A-481E-9B8F-F95D19EB4B80}">
  <dimension ref="A1"/>
  <sheetViews>
    <sheetView workbookViewId="0">
      <selection activeCell="I32" sqref="I3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EE9C1-A5A4-4EE5-A6D1-A375C2C492BB}">
  <dimension ref="B3:I9"/>
  <sheetViews>
    <sheetView tabSelected="1" workbookViewId="0">
      <selection activeCell="L12" sqref="L12"/>
    </sheetView>
  </sheetViews>
  <sheetFormatPr defaultRowHeight="15" x14ac:dyDescent="0.25"/>
  <cols>
    <col min="2" max="2" width="20.7109375" customWidth="1"/>
    <col min="3" max="3" width="18" bestFit="1" customWidth="1"/>
  </cols>
  <sheetData>
    <row r="3" spans="2:9" x14ac:dyDescent="0.25">
      <c r="I3">
        <v>2</v>
      </c>
    </row>
    <row r="7" spans="2:9" x14ac:dyDescent="0.25">
      <c r="B7" t="s">
        <v>147</v>
      </c>
      <c r="C7" s="6">
        <f>IF($I$3&gt;=2,INDEX(Tabela1[[Subfunção]:[Valor Restos a Pagar Pagos]],FORMULARIO!$I$3,2),"")</f>
        <v>0</v>
      </c>
    </row>
    <row r="8" spans="2:9" x14ac:dyDescent="0.25">
      <c r="B8" t="s">
        <v>148</v>
      </c>
      <c r="C8" s="6">
        <f>IF($I$3&gt;=2,INDEX(Tabela1[[Subfunção]:[Valor Restos a Pagar Pagos]],FORMULARIO!$I$3,3),"")</f>
        <v>0</v>
      </c>
    </row>
    <row r="9" spans="2:9" x14ac:dyDescent="0.25">
      <c r="B9" t="s">
        <v>149</v>
      </c>
      <c r="C9" s="6">
        <f>IF($I$3&gt;=2,INDEX(Tabela1[[Subfunção]:[Valor Restos a Pagar Pagos]],FORMULARIO!$I$3,4),"")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1</xdr:col>
                    <xdr:colOff>28575</xdr:colOff>
                    <xdr:row>1</xdr:row>
                    <xdr:rowOff>28575</xdr:rowOff>
                  </from>
                  <to>
                    <xdr:col>3</xdr:col>
                    <xdr:colOff>466725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pagar">
                <anchor moveWithCells="1" sizeWithCells="1">
                  <from>
                    <xdr:col>8</xdr:col>
                    <xdr:colOff>19050</xdr:colOff>
                    <xdr:row>8</xdr:row>
                    <xdr:rowOff>28575</xdr:rowOff>
                  </from>
                  <to>
                    <xdr:col>10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</vt:lpstr>
      <vt:lpstr>TABELA DINAMICA</vt:lpstr>
      <vt:lpstr>GRAFICOS</vt:lpstr>
      <vt:lpstr>FORMULARIO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2023-08-25T00:51:00Z</dcterms:created>
  <dcterms:modified xsi:type="dcterms:W3CDTF">2023-09-01T02:08:39Z</dcterms:modified>
</cp:coreProperties>
</file>